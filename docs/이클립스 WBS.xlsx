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<sst xmlns="http://schemas.openxmlformats.org/spreadsheetml/2006/main" count="576" uniqueCount="250">
  <si>
    <t>4조 이클립스</t>
  </si>
  <si>
    <t>Group</t>
  </si>
  <si>
    <t>Task</t>
  </si>
  <si>
    <t>Subtask</t>
  </si>
  <si>
    <t>Description</t>
  </si>
  <si>
    <t>Link</t>
  </si>
  <si>
    <t>Team</t>
  </si>
  <si>
    <t>Assignee</t>
  </si>
  <si>
    <t>Start Date</t>
  </si>
  <si>
    <t>End Date</t>
  </si>
  <si>
    <t>Period</t>
  </si>
  <si>
    <t>Status</t>
  </si>
  <si>
    <t>Progress</t>
  </si>
  <si>
    <t>킥오프</t>
  </si>
  <si>
    <t>완료</t>
  </si>
  <si>
    <t>9월 19일~</t>
  </si>
  <si>
    <t>초기설정</t>
  </si>
  <si>
    <t>주제선정</t>
  </si>
  <si>
    <t>전원</t>
  </si>
  <si>
    <t>그라운드룰 작성</t>
  </si>
  <si>
    <t>노션</t>
  </si>
  <si>
    <t>개발 소스 저장소 (깃) 만들기</t>
  </si>
  <si>
    <t>깃</t>
  </si>
  <si>
    <t>스프린트 확정</t>
  </si>
  <si>
    <t>프로젝트 관리 도구 (노션) 정리</t>
  </si>
  <si>
    <t xml:space="preserve">산출물 저장소 (노션) 만들기 </t>
  </si>
  <si>
    <t>S1</t>
  </si>
  <si>
    <t>9월 23일
~
9월 30일</t>
  </si>
  <si>
    <t>기획</t>
  </si>
  <si>
    <t>프로젝트 기획서</t>
  </si>
  <si>
    <t>프로젝트 개요</t>
  </si>
  <si>
    <t>주요 추천 카테고리</t>
  </si>
  <si>
    <t>추천로직 고려요소</t>
  </si>
  <si>
    <t>기능</t>
  </si>
  <si>
    <t>서비스 흐름</t>
  </si>
  <si>
    <t>기대효과</t>
  </si>
  <si>
    <t>요구사항 정의서</t>
  </si>
  <si>
    <t>홍수현, 장승원</t>
  </si>
  <si>
    <t>기능 요구사항</t>
  </si>
  <si>
    <t>장승원, 홍수현</t>
  </si>
  <si>
    <t>비기능 요구사항</t>
  </si>
  <si>
    <t>홍수현, 사석훈, 장승원</t>
  </si>
  <si>
    <t>제약사항 및 가정</t>
  </si>
  <si>
    <t>추후 추가 기능 업데이트</t>
  </si>
  <si>
    <t>계획</t>
  </si>
  <si>
    <t>API 명세서</t>
  </si>
  <si>
    <t>공통</t>
  </si>
  <si>
    <t>사석훈</t>
  </si>
  <si>
    <t>메인 서버 - 어플리케이션</t>
  </si>
  <si>
    <t>커뮤니티 서버 - 어플리케이션</t>
  </si>
  <si>
    <t>시스템 아키텍처</t>
  </si>
  <si>
    <t>사용자 시나리오</t>
  </si>
  <si>
    <t>사용자 흐름도</t>
  </si>
  <si>
    <t>서비스 흐름도</t>
  </si>
  <si>
    <t>레퍼런스 리서치</t>
  </si>
  <si>
    <t>파인튜닝?</t>
  </si>
  <si>
    <t>하루 프롬프트 회의</t>
  </si>
  <si>
    <t>데이터 모델링</t>
  </si>
  <si>
    <t>물리 ERD</t>
  </si>
  <si>
    <t>ERD</t>
  </si>
  <si>
    <t>논리 ERD</t>
  </si>
  <si>
    <t>POC1</t>
  </si>
  <si>
    <t>크롤링</t>
  </si>
  <si>
    <t>네이버지도</t>
  </si>
  <si>
    <t>조설훈</t>
  </si>
  <si>
    <t>카카오지도</t>
  </si>
  <si>
    <t>어플 프로토타입</t>
  </si>
  <si>
    <t>피그마, 스티치로 제작</t>
  </si>
  <si>
    <t>프로토타입</t>
  </si>
  <si>
    <t>앱 개발 환경 구축</t>
  </si>
  <si>
    <t>사용할 프레임워크 정하기</t>
  </si>
  <si>
    <t>프레임 워크 테스트</t>
  </si>
  <si>
    <t>모의 개발</t>
  </si>
  <si>
    <t>데이터 수집</t>
  </si>
  <si>
    <t>S2</t>
  </si>
  <si>
    <t>10월 15일
~
10월 24일</t>
  </si>
  <si>
    <t>아이디어</t>
  </si>
  <si>
    <t>킥 아이디어 구체화</t>
  </si>
  <si>
    <t>템플릿 구체화</t>
  </si>
  <si>
    <t>백엔드
개발</t>
  </si>
  <si>
    <t>데이터베이스</t>
  </si>
  <si>
    <t>연결 설정 파일 구성(Maria)</t>
  </si>
  <si>
    <t>테이블 만들기</t>
  </si>
  <si>
    <t>엔티티 파일 작성</t>
  </si>
  <si>
    <t>레포지토리 파일 작성</t>
  </si>
  <si>
    <t>서버 내부 테이블 구조 작성</t>
  </si>
  <si>
    <t>메인 서버</t>
  </si>
  <si>
    <t>서버 파일 구조 확정</t>
  </si>
  <si>
    <t>로거 틀 회의 및 구성</t>
  </si>
  <si>
    <t>MairaDB 커넥터 제작 및 테스트</t>
  </si>
  <si>
    <t>AWS 에 들어갈 부분 논의</t>
  </si>
  <si>
    <t>카카오맵 크롤러 리턴값 변경</t>
  </si>
  <si>
    <t>크롤러 로거 형식에 맞춰 로그 부분 변경</t>
  </si>
  <si>
    <t>설계</t>
  </si>
  <si>
    <t>시퀀스 다이어그램</t>
  </si>
  <si>
    <t>각 로직 시퀀스 다이어그램 작성</t>
  </si>
  <si>
    <t>매장 데이터 샘플 수집</t>
  </si>
  <si>
    <t>음식점, 카페, 콘텐츠 매장 데이터 샘플 수집</t>
  </si>
  <si>
    <t>크롤링 스케줄러 설계</t>
  </si>
  <si>
    <t>데이터 크롤링 주기 설계</t>
  </si>
  <si>
    <t>조설훈, 사석훈</t>
  </si>
  <si>
    <t>보류</t>
  </si>
  <si>
    <t>크롤링 데이터 변경</t>
  </si>
  <si>
    <t>크롤링 데이터 검색 방식 변경</t>
  </si>
  <si>
    <t>POC2</t>
  </si>
  <si>
    <t>하루(llm) 기능 테스트</t>
  </si>
  <si>
    <t>llm 기본 규칙 제작 및 적용</t>
  </si>
  <si>
    <t>장승원</t>
  </si>
  <si>
    <t>질문과 답변 태그화 프롬프트 제작 및 테스트</t>
  </si>
  <si>
    <t>예외처리 및 보안 할 내용 프롬프트제작 및 적용</t>
  </si>
  <si>
    <t>DB 연결</t>
  </si>
  <si>
    <t>Flutter 화면과 MariaDB 연결</t>
  </si>
  <si>
    <t>홍수현</t>
  </si>
  <si>
    <t>프론트엔드 개발</t>
  </si>
  <si>
    <t>공유 위젯(화면 기능)</t>
  </si>
  <si>
    <t>하단바 네비게이션</t>
  </si>
  <si>
    <t xml:space="preserve">하단 생성 알람(스낵바) </t>
  </si>
  <si>
    <t>확인 팝업(알럿 다이얼로그)</t>
  </si>
  <si>
    <t>홈 화면</t>
  </si>
  <si>
    <t>홈 메인 화면</t>
  </si>
  <si>
    <t>홈 상세 화면</t>
  </si>
  <si>
    <t>홈 메인 화면 서버 연결</t>
  </si>
  <si>
    <t>홍수현, 사석훈</t>
  </si>
  <si>
    <t>커뮤니티 화면</t>
  </si>
  <si>
    <t>커뮤니티 화면 개발</t>
  </si>
  <si>
    <t>커뮤니티 화면 - 게시글 상세 화면</t>
  </si>
  <si>
    <t>일정 생성 화면</t>
  </si>
  <si>
    <t>채팅 화면</t>
  </si>
  <si>
    <t>llm 채팅 화면에 연동</t>
  </si>
  <si>
    <t>결과물 출력 화면</t>
  </si>
  <si>
    <t>내 정보 화면</t>
  </si>
  <si>
    <t>탈퇴 화면</t>
  </si>
  <si>
    <t>내 정보 상세 화면</t>
  </si>
  <si>
    <t>S3</t>
  </si>
  <si>
    <t>10월 28일
~
10월 31일</t>
  </si>
  <si>
    <t xml:space="preserve">일정표 "템플릿" </t>
  </si>
  <si>
    <t>템플릿 아이디어 구체화</t>
  </si>
  <si>
    <t>추가 크롤링</t>
  </si>
  <si>
    <t>음식점, 카페 메뉴 크롤링 추가 방안</t>
  </si>
  <si>
    <t>개발</t>
  </si>
  <si>
    <t>Chroma 구성</t>
  </si>
  <si>
    <t>개발 관련 전체</t>
  </si>
  <si>
    <t>데이터 이동간 사용할 클래스(DTO) 정의</t>
  </si>
  <si>
    <t>사석훈, 조설훈</t>
  </si>
  <si>
    <t>컨트롤러 통해 어플과 통신 테스트</t>
  </si>
  <si>
    <t>장승원, 사석훈, 홍수현</t>
  </si>
  <si>
    <t>컨트롤러 작성</t>
  </si>
  <si>
    <t>벡터디비 임베딩 함수 및 파이프 라인 제작</t>
  </si>
  <si>
    <t>태그 만들 LLM 함수 및 파이프 라인 제작</t>
  </si>
  <si>
    <t>LLM(하루) 함수 및 파이프 라인 제작</t>
  </si>
  <si>
    <t>조설훈, 사석훈, 장승원</t>
  </si>
  <si>
    <t>에러 핸들러 제작</t>
  </si>
  <si>
    <t>커뮤니티 서버</t>
  </si>
  <si>
    <t>컨트롤러 제작</t>
  </si>
  <si>
    <t>콘텐츠 크롤링</t>
  </si>
  <si>
    <t>콘텐츠 크롤링 방식 결정</t>
  </si>
  <si>
    <t>음식점, 카페 메뉴 크롤링</t>
  </si>
  <si>
    <t>프론트엔드 
개발</t>
  </si>
  <si>
    <t>화면 기획 최종</t>
  </si>
  <si>
    <t>제작할 화면 확정</t>
  </si>
  <si>
    <t>세부화면 개발</t>
  </si>
  <si>
    <t>세부 화면 로직 기획</t>
  </si>
  <si>
    <t>세부 화면 수정</t>
  </si>
  <si>
    <t>세부화면 수정</t>
  </si>
  <si>
    <t>찜 목록</t>
  </si>
  <si>
    <t>내가 쓴 게시글</t>
  </si>
  <si>
    <t>이용약관</t>
  </si>
  <si>
    <t>닉네임 변경</t>
  </si>
  <si>
    <t>비밀번호 변경</t>
  </si>
  <si>
    <t>집주소 변경</t>
  </si>
  <si>
    <t>이메일 변경</t>
  </si>
  <si>
    <t>전화번호 변경</t>
  </si>
  <si>
    <t>프롬프팅</t>
  </si>
  <si>
    <t xml:space="preserve">이상한 답변 태그화 </t>
  </si>
  <si>
    <t xml:space="preserve">하루와 채팅 화면 </t>
  </si>
  <si>
    <t>하루가 뱉어낸 태그 삭제</t>
  </si>
  <si>
    <t>정해진 텍스트로 질문하는 것이 아닌, 유연하게 생성해서 질문하게 하기</t>
  </si>
  <si>
    <t>분석</t>
  </si>
  <si>
    <t>데이터 분석</t>
  </si>
  <si>
    <t>매장 종류별 태그 종류 분석 (음식점, 카페)</t>
  </si>
  <si>
    <t>카테고리 별 태그 분석</t>
  </si>
  <si>
    <t>POC3</t>
  </si>
  <si>
    <t>백터 DB 연동</t>
  </si>
  <si>
    <t>chroma DB와 사용자 응답과 유사한 매장 정보 추천</t>
  </si>
  <si>
    <t>백엔드 서버와 화면 연동</t>
  </si>
  <si>
    <t>API 명세서 참고해서 연동</t>
  </si>
  <si>
    <t>사석훈, 홍수현</t>
  </si>
  <si>
    <t>S4</t>
  </si>
  <si>
    <t>할 일</t>
  </si>
  <si>
    <t>11월 3일
~
11월 7일</t>
  </si>
  <si>
    <t>템플릿 디자인 제작 및 구현</t>
  </si>
  <si>
    <t>크로마DB 스케줄러 설계</t>
  </si>
  <si>
    <t>크로마 DB 적제 주기 설계</t>
  </si>
  <si>
    <t>이동시간 계산 기능</t>
  </si>
  <si>
    <t>이동시간 템플릿에서 보여주기</t>
  </si>
  <si>
    <t>사용자의 이상 답변 필터링</t>
  </si>
  <si>
    <t>추천결과 필터링</t>
  </si>
  <si>
    <t>유사도 검색으로 나온 결과 AI로 필터링</t>
  </si>
  <si>
    <t>내 위치 탐색</t>
  </si>
  <si>
    <t>위치 api 연결</t>
  </si>
  <si>
    <t xml:space="preserve">내가 쓴 리뷰 화면 </t>
  </si>
  <si>
    <t>일정표 히스토리 화면</t>
  </si>
  <si>
    <t>내가 쓴 게시물 화면</t>
  </si>
  <si>
    <t>커뮤니티</t>
  </si>
  <si>
    <t>S5</t>
  </si>
  <si>
    <t>11월 10일
~
11월 14일</t>
  </si>
  <si>
    <t>추가 템플릿 디자인</t>
  </si>
  <si>
    <t>추가 템플릿 디자인 제작 및 구현</t>
  </si>
  <si>
    <t>하루가 생성한 태그 삭제</t>
  </si>
  <si>
    <t xml:space="preserve">히스토리 화면 </t>
  </si>
  <si>
    <t>DB 저장 방식, 히스토리 생성 시간,분 표시</t>
  </si>
  <si>
    <t xml:space="preserve">템플릿 </t>
  </si>
  <si>
    <t>템플릿 2 디자인 제작</t>
  </si>
  <si>
    <t>템플릿 3 디자인 제작</t>
  </si>
  <si>
    <t>로그인</t>
  </si>
  <si>
    <t>아이디/비밀번호 찾기</t>
  </si>
  <si>
    <t xml:space="preserve">글쓰기 기능 </t>
  </si>
  <si>
    <t>댓글 기능</t>
  </si>
  <si>
    <t>쪽지 기능</t>
  </si>
  <si>
    <t>내가 쓴 리뷰</t>
  </si>
  <si>
    <t>사석훈, 장승원</t>
  </si>
  <si>
    <t>내가 쓴 게시물</t>
  </si>
  <si>
    <t>대시보드</t>
  </si>
  <si>
    <t>대시보드 구성 내용 확정</t>
  </si>
  <si>
    <t>대시보드 DB 연결</t>
  </si>
  <si>
    <t>테스트</t>
  </si>
  <si>
    <t>단위 테스트</t>
  </si>
  <si>
    <t>단위 테스트 시나리오 작성</t>
  </si>
  <si>
    <t>통합 테스트</t>
  </si>
  <si>
    <t>통합 테스트 시나리오 작성</t>
  </si>
  <si>
    <t>마무리</t>
  </si>
  <si>
    <t>11월 17일
~
11월 21일</t>
  </si>
  <si>
    <t>발표 자료 정리</t>
  </si>
  <si>
    <t>산출물 정리</t>
  </si>
  <si>
    <t>산출물 최종 정리</t>
  </si>
  <si>
    <t>동영상 촬영 및 편집</t>
  </si>
  <si>
    <t>시연 영상 촬영 및 편집</t>
  </si>
  <si>
    <t>조설훈, 홍수현</t>
  </si>
  <si>
    <t>PPT</t>
  </si>
  <si>
    <t>ppt 디자인 선정 및 제작</t>
  </si>
  <si>
    <t>발표 스크립트 작성</t>
  </si>
  <si>
    <t>최종 발표 스크립트 초안 작성</t>
  </si>
  <si>
    <t>장승원, 조설훈</t>
  </si>
  <si>
    <t>배포</t>
  </si>
  <si>
    <t>whynotcamp 깃 허브 배포</t>
  </si>
  <si>
    <t>최종 깃 레파지토리 배포</t>
  </si>
  <si>
    <t>발표 준비</t>
  </si>
  <si>
    <t>발표 스크립트 최종 작성 및 정리</t>
  </si>
  <si>
    <t>발표 리뷰</t>
  </si>
  <si>
    <t>스프린트 기간 내 마지막 발표 연습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</si>
</sst>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"/>
    <numFmt numFmtId="165" formatCode="mm&quot;/&quot;dd"/>
    <numFmt numFmtId="166" formatCode="yyyy. M. d"/>
  </numFmts>
  <fonts count="17">
    <font>
      <sz val="10.0"/>
      <color rgb="FF000000"/>
      <name val="Arial"/>
      <scheme val="minor"/>
    </font>
    <font>
      <b/>
      <sz val="14.0"/>
      <color theme="1"/>
      <name val="Roboto"/>
    </font>
    <font>
      <color theme="1"/>
      <name val="Arial"/>
    </font>
    <font>
      <sz val="8.0"/>
      <color theme="1"/>
      <name val="Roboto"/>
    </font>
    <font>
      <b/>
      <sz val="9.0"/>
      <color theme="1"/>
      <name val="Roboto"/>
    </font>
    <font>
      <b/>
      <sz val="9.0"/>
      <color rgb="FFFFFFFF"/>
      <name val="Roboto"/>
    </font>
    <font/>
    <font>
      <b/>
      <sz val="8.0"/>
      <color rgb="FFFFFFFF"/>
      <name val="Roboto"/>
    </font>
    <font>
      <b/>
      <color rgb="FFFFFFFF"/>
      <name val="Roboto"/>
    </font>
    <font>
      <color theme="1"/>
      <name val="Roboto"/>
    </font>
    <font>
      <b/>
      <color theme="1"/>
      <name val="Roboto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CCCCCC"/>
      </bottom>
    </border>
    <border>
      <left style="thin">
        <color rgb="FF000000"/>
      </left>
      <top style="medium">
        <color rgb="FF000000"/>
      </top>
      <bottom style="thin">
        <color rgb="FFCCCCCC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D9D9D9"/>
      </left>
      <right style="thin">
        <color rgb="FF434343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B7B7B7"/>
      </left>
      <right style="thin">
        <color rgb="FFB7B7B7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0" fillId="0" fontId="2" numFmtId="0" xfId="0" applyFon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5" fillId="2" fontId="2" numFmtId="0" xfId="0" applyAlignment="1" applyBorder="1" applyFont="1">
      <alignment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vertical="top"/>
    </xf>
    <xf borderId="0" fillId="2" fontId="2" numFmtId="0" xfId="0" applyAlignment="1" applyFont="1">
      <alignment vertical="top"/>
    </xf>
    <xf borderId="6" fillId="3" fontId="4" numFmtId="0" xfId="0" applyAlignment="1" applyBorder="1" applyFill="1" applyFont="1">
      <alignment horizontal="center"/>
    </xf>
    <xf borderId="6" fillId="3" fontId="4" numFmtId="0" xfId="0" applyAlignment="1" applyBorder="1" applyFont="1">
      <alignment horizontal="center" shrinkToFit="0" wrapText="1"/>
    </xf>
    <xf borderId="7" fillId="3" fontId="5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10" fillId="0" fontId="6" numFmtId="0" xfId="0" applyBorder="1" applyFont="1"/>
    <xf borderId="11" fillId="0" fontId="6" numFmtId="0" xfId="0" applyBorder="1" applyFont="1"/>
    <xf borderId="2" fillId="3" fontId="3" numFmtId="164" xfId="0" applyAlignment="1" applyBorder="1" applyFont="1" applyNumberFormat="1">
      <alignment horizontal="center"/>
    </xf>
    <xf borderId="3" fillId="3" fontId="3" numFmtId="164" xfId="0" applyAlignment="1" applyBorder="1" applyFont="1" applyNumberFormat="1">
      <alignment horizontal="center"/>
    </xf>
    <xf borderId="3" fillId="4" fontId="7" numFmtId="164" xfId="0" applyAlignment="1" applyBorder="1" applyFill="1" applyFont="1" applyNumberFormat="1">
      <alignment horizontal="center"/>
    </xf>
    <xf borderId="4" fillId="3" fontId="3" numFmtId="164" xfId="0" applyAlignment="1" applyBorder="1" applyFont="1" applyNumberFormat="1">
      <alignment horizontal="center"/>
    </xf>
    <xf borderId="0" fillId="3" fontId="3" numFmtId="164" xfId="0" applyAlignment="1" applyFont="1" applyNumberFormat="1">
      <alignment horizontal="center"/>
    </xf>
    <xf borderId="12" fillId="3" fontId="3" numFmtId="164" xfId="0" applyAlignment="1" applyBorder="1" applyFont="1" applyNumberFormat="1">
      <alignment horizontal="center"/>
    </xf>
    <xf borderId="1" fillId="5" fontId="8" numFmtId="0" xfId="0" applyAlignment="1" applyBorder="1" applyFill="1" applyFont="1">
      <alignment shrinkToFit="0" wrapText="1"/>
    </xf>
    <xf borderId="1" fillId="6" fontId="2" numFmtId="0" xfId="0" applyBorder="1" applyFill="1" applyFont="1"/>
    <xf borderId="1" fillId="6" fontId="2" numFmtId="3" xfId="0" applyBorder="1" applyFont="1" applyNumberFormat="1"/>
    <xf borderId="1" fillId="6" fontId="2" numFmtId="3" xfId="0" applyAlignment="1" applyBorder="1" applyFont="1" applyNumberFormat="1">
      <alignment vertical="bottom"/>
    </xf>
    <xf borderId="1" fillId="6" fontId="2" numFmtId="0" xfId="0" applyAlignment="1" applyBorder="1" applyFont="1">
      <alignment vertical="bottom"/>
    </xf>
    <xf borderId="1" fillId="6" fontId="8" numFmtId="165" xfId="0" applyAlignment="1" applyBorder="1" applyFont="1" applyNumberFormat="1">
      <alignment shrinkToFit="0" vertical="bottom" wrapText="1"/>
    </xf>
    <xf borderId="1" fillId="0" fontId="9" numFmtId="3" xfId="0" applyAlignment="1" applyBorder="1" applyFont="1" applyNumberFormat="1">
      <alignment shrinkToFit="0" wrapText="1"/>
    </xf>
    <xf borderId="2" fillId="6" fontId="2" numFmtId="3" xfId="0" applyBorder="1" applyFont="1" applyNumberFormat="1"/>
    <xf borderId="3" fillId="6" fontId="2" numFmtId="0" xfId="0" applyBorder="1" applyFont="1"/>
    <xf borderId="3" fillId="7" fontId="2" numFmtId="0" xfId="0" applyBorder="1" applyFill="1" applyFont="1"/>
    <xf borderId="6" fillId="5" fontId="10" numFmtId="0" xfId="0" applyAlignment="1" applyBorder="1" applyFont="1">
      <alignment horizontal="center"/>
    </xf>
    <xf borderId="6" fillId="8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 shrinkToFit="0" wrapText="1"/>
    </xf>
    <xf borderId="1" fillId="0" fontId="2" numFmtId="3" xfId="0" applyBorder="1" applyFont="1" applyNumberFormat="1"/>
    <xf borderId="1" fillId="0" fontId="2" numFmtId="3" xfId="0" applyAlignment="1" applyBorder="1" applyFont="1" applyNumberFormat="1">
      <alignment vertical="bottom"/>
    </xf>
    <xf borderId="1" fillId="0" fontId="9" numFmtId="3" xfId="0" applyAlignment="1" applyBorder="1" applyFont="1" applyNumberFormat="1">
      <alignment horizontal="center" shrinkToFit="0" wrapText="1"/>
    </xf>
    <xf borderId="1" fillId="0" fontId="2" numFmtId="165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3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6" numFmtId="0" xfId="0" applyBorder="1" applyFont="1"/>
    <xf borderId="1" fillId="0" fontId="11" numFmtId="3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vertical="bottom"/>
    </xf>
    <xf borderId="6" fillId="9" fontId="2" numFmtId="0" xfId="0" applyAlignment="1" applyBorder="1" applyFill="1" applyFont="1">
      <alignment horizontal="center"/>
    </xf>
    <xf borderId="6" fillId="0" fontId="9" numFmtId="0" xfId="0" applyAlignment="1" applyBorder="1" applyFont="1">
      <alignment horizontal="center" shrinkToFit="0" wrapText="1"/>
    </xf>
    <xf borderId="1" fillId="0" fontId="2" numFmtId="3" xfId="0" applyAlignment="1" applyBorder="1" applyFont="1" applyNumberFormat="1">
      <alignment horizontal="center"/>
    </xf>
    <xf borderId="6" fillId="0" fontId="12" numFmtId="3" xfId="0" applyAlignment="1" applyBorder="1" applyFont="1" applyNumberFormat="1">
      <alignment horizontal="center" shrinkToFit="0" wrapText="1"/>
    </xf>
    <xf borderId="6" fillId="0" fontId="9" numFmtId="3" xfId="0" applyAlignment="1" applyBorder="1" applyFont="1" applyNumberFormat="1">
      <alignment horizontal="center" shrinkToFit="0" wrapText="1"/>
    </xf>
    <xf borderId="1" fillId="0" fontId="2" numFmtId="3" xfId="0" applyAlignment="1" applyBorder="1" applyFont="1" applyNumberFormat="1">
      <alignment horizontal="center" vertical="bottom"/>
    </xf>
    <xf borderId="17" fillId="0" fontId="2" numFmtId="3" xfId="0" applyBorder="1" applyFont="1" applyNumberFormat="1"/>
    <xf borderId="1" fillId="0" fontId="2" numFmtId="0" xfId="0" applyAlignment="1" applyBorder="1" applyFont="1">
      <alignment horizontal="center"/>
    </xf>
    <xf borderId="6" fillId="9" fontId="13" numFmtId="0" xfId="0" applyAlignment="1" applyBorder="1" applyFont="1">
      <alignment horizontal="center"/>
    </xf>
    <xf borderId="1" fillId="0" fontId="9" numFmtId="165" xfId="0" applyAlignment="1" applyBorder="1" applyFont="1" applyNumberFormat="1">
      <alignment horizontal="center" shrinkToFit="0" vertical="bottom" wrapText="1"/>
    </xf>
    <xf borderId="1" fillId="0" fontId="9" numFmtId="3" xfId="0" applyAlignment="1" applyBorder="1" applyFont="1" applyNumberFormat="1">
      <alignment horizontal="center" shrinkToFit="0" vertical="bottom" wrapText="1"/>
    </xf>
    <xf borderId="6" fillId="0" fontId="14" numFmtId="3" xfId="0" applyAlignment="1" applyBorder="1" applyFont="1" applyNumberFormat="1">
      <alignment horizontal="center"/>
    </xf>
    <xf borderId="6" fillId="9" fontId="9" numFmtId="0" xfId="0" applyAlignment="1" applyBorder="1" applyFont="1">
      <alignment horizontal="center" shrinkToFit="0" wrapText="1"/>
    </xf>
    <xf borderId="6" fillId="9" fontId="9" numFmtId="0" xfId="0" applyAlignment="1" applyBorder="1" applyFont="1">
      <alignment horizontal="center"/>
    </xf>
    <xf borderId="2" fillId="0" fontId="2" numFmtId="0" xfId="0" applyBorder="1" applyFont="1"/>
    <xf borderId="1" fillId="0" fontId="15" numFmtId="3" xfId="0" applyAlignment="1" applyBorder="1" applyFont="1" applyNumberFormat="1">
      <alignment horizontal="center" shrinkToFit="0" wrapText="1"/>
    </xf>
    <xf borderId="1" fillId="9" fontId="9" numFmtId="0" xfId="0" applyAlignment="1" applyBorder="1" applyFont="1">
      <alignment horizontal="center"/>
    </xf>
    <xf borderId="1" fillId="0" fontId="2" numFmtId="165" xfId="0" applyBorder="1" applyFont="1" applyNumberFormat="1"/>
    <xf borderId="1" fillId="6" fontId="2" numFmtId="166" xfId="0" applyAlignment="1" applyBorder="1" applyFont="1" applyNumberFormat="1">
      <alignment vertical="bottom"/>
    </xf>
    <xf borderId="1" fillId="2" fontId="9" numFmtId="0" xfId="0" applyAlignment="1" applyBorder="1" applyFont="1">
      <alignment horizontal="center" shrinkToFit="0" wrapText="1"/>
    </xf>
    <xf borderId="1" fillId="2" fontId="2" numFmtId="3" xfId="0" applyBorder="1" applyFont="1" applyNumberFormat="1"/>
    <xf borderId="1" fillId="2" fontId="9" numFmtId="165" xfId="0" applyAlignment="1" applyBorder="1" applyFont="1" applyNumberFormat="1">
      <alignment horizontal="center" shrinkToFit="0" wrapText="1"/>
    </xf>
    <xf borderId="0" fillId="0" fontId="2" numFmtId="3" xfId="0" applyFont="1" applyNumberFormat="1"/>
    <xf borderId="4" fillId="0" fontId="2" numFmtId="0" xfId="0" applyBorder="1" applyFont="1"/>
    <xf borderId="1" fillId="2" fontId="9" numFmtId="3" xfId="0" applyAlignment="1" applyBorder="1" applyFont="1" applyNumberForma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2" fontId="2" numFmtId="0" xfId="0" applyBorder="1" applyFont="1"/>
    <xf borderId="1" fillId="2" fontId="2" numFmtId="165" xfId="0" applyBorder="1" applyFont="1" applyNumberFormat="1"/>
    <xf borderId="6" fillId="10" fontId="9" numFmtId="0" xfId="0" applyAlignment="1" applyBorder="1" applyFill="1" applyFont="1">
      <alignment horizontal="center" shrinkToFit="0" wrapText="1"/>
    </xf>
    <xf borderId="1" fillId="2" fontId="2" numFmtId="3" xfId="0" applyAlignment="1" applyBorder="1" applyFont="1" applyNumberFormat="1">
      <alignment vertical="bottom"/>
    </xf>
    <xf borderId="1" fillId="2" fontId="9" numFmtId="165" xfId="0" applyAlignment="1" applyBorder="1" applyFont="1" applyNumberFormat="1">
      <alignment horizontal="center" shrinkToFit="0" vertical="bottom" wrapText="1"/>
    </xf>
    <xf borderId="6" fillId="0" fontId="2" numFmtId="0" xfId="0" applyAlignment="1" applyBorder="1" applyFont="1">
      <alignment horizontal="center"/>
    </xf>
    <xf borderId="1" fillId="9" fontId="2" numFmtId="0" xfId="0" applyBorder="1" applyFont="1"/>
    <xf borderId="6" fillId="10" fontId="9" numFmtId="0" xfId="0" applyAlignment="1" applyBorder="1" applyFont="1">
      <alignment horizontal="center"/>
    </xf>
    <xf borderId="1" fillId="2" fontId="2" numFmtId="3" xfId="0" applyAlignment="1" applyBorder="1" applyFont="1" applyNumberFormat="1">
      <alignment horizontal="center"/>
    </xf>
    <xf borderId="1" fillId="2" fontId="2" numFmtId="165" xfId="0" applyAlignment="1" applyBorder="1" applyFont="1" applyNumberFormat="1">
      <alignment horizontal="right" vertical="bottom"/>
    </xf>
    <xf borderId="1" fillId="5" fontId="8" numFmtId="0" xfId="0" applyBorder="1" applyFont="1"/>
    <xf borderId="0" fillId="0" fontId="2" numFmtId="0" xfId="0" applyAlignment="1" applyFont="1">
      <alignment horizontal="center" vertical="bottom"/>
    </xf>
    <xf borderId="18" fillId="2" fontId="9" numFmtId="0" xfId="0" applyAlignment="1" applyBorder="1" applyFont="1">
      <alignment horizontal="center" shrinkToFit="0" wrapText="1"/>
    </xf>
    <xf borderId="19" fillId="2" fontId="9" numFmtId="3" xfId="0" applyAlignment="1" applyBorder="1" applyFont="1" applyNumberFormat="1">
      <alignment horizontal="center" shrinkToFit="0" wrapText="1"/>
    </xf>
    <xf borderId="10" fillId="2" fontId="9" numFmtId="0" xfId="0" applyAlignment="1" applyBorder="1" applyFont="1">
      <alignment horizontal="center" shrinkToFit="0" wrapText="1"/>
    </xf>
    <xf borderId="1" fillId="2" fontId="16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otion.so/279b55446e5b80c78dabc7d46fa0f7ed" TargetMode="External"/><Relationship Id="rId10" Type="http://schemas.openxmlformats.org/officeDocument/2006/relationships/hyperlink" Target="https://www.notion.so/278b55446e5b80a2b25dd082daa43efa?v=278b55446e5b80eb9ccd000c88895562&amp;source=copy_link" TargetMode="External"/><Relationship Id="rId13" Type="http://schemas.openxmlformats.org/officeDocument/2006/relationships/hyperlink" Target="https://www.figma.com/design/Po9yqQJkLWbCwrqKw9uEQp/Untitled?node-id=0-1&amp;p=f&amp;t=hb5BDw2tnhNSdu4O-0" TargetMode="External"/><Relationship Id="rId12" Type="http://schemas.openxmlformats.org/officeDocument/2006/relationships/hyperlink" Target="https://www.notion.so/ERD-278b55446e5b8095bfb7df0377765452?v=278b55446e5b80eb9ccd000c88895562&amp;source=copy_link" TargetMode="External"/><Relationship Id="rId1" Type="http://schemas.openxmlformats.org/officeDocument/2006/relationships/hyperlink" Target="https://www.notion.so/276b55446e5b805f9673e2a5712c949b" TargetMode="External"/><Relationship Id="rId2" Type="http://schemas.openxmlformats.org/officeDocument/2006/relationships/hyperlink" Target="https://github.com/Clear-head/LgUPlus4" TargetMode="External"/><Relationship Id="rId3" Type="http://schemas.openxmlformats.org/officeDocument/2006/relationships/hyperlink" Target="https://www.notion.so/273b55446e5b800ca734c78b4b31bf52" TargetMode="External"/><Relationship Id="rId4" Type="http://schemas.openxmlformats.org/officeDocument/2006/relationships/hyperlink" Target="https://www.notion.so/278b55446e5b802aafb4fc00eff091d7" TargetMode="External"/><Relationship Id="rId9" Type="http://schemas.openxmlformats.org/officeDocument/2006/relationships/hyperlink" Target="https://www.notion.so/UML-278b55446e5b80818dbfe70f85f53ed1?v=278b55446e5b80eb9ccd000c88895562&amp;source=copy_link" TargetMode="External"/><Relationship Id="rId15" Type="http://schemas.openxmlformats.org/officeDocument/2006/relationships/hyperlink" Target="https://docs.google.com/spreadsheets/d/1O4cz111xxYNaxVYeIE9iw33SOS61-grDitU60M5hkHM/edit?gid=137485315" TargetMode="External"/><Relationship Id="rId14" Type="http://schemas.openxmlformats.org/officeDocument/2006/relationships/hyperlink" Target="https://docs.google.com/spreadsheets/d/1O4cz111xxYNaxVYeIE9iw33SOS61-grDitU60M5hkHM/edit?gid=0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ocs.google.com/document/d/1DbuAw1bpKPTXjpUOYG36q1yrtlCk7uQPCfCTcSnhqzc/edit?tab=t.5rftizycxm91" TargetMode="External"/><Relationship Id="rId6" Type="http://schemas.openxmlformats.org/officeDocument/2006/relationships/hyperlink" Target="https://docs.google.com/document/d/1DbuAw1bpKPTXjpUOYG36q1yrtlCk7uQPCfCTcSnhqzc/edit?tab=t.so0gie49j1y6" TargetMode="External"/><Relationship Id="rId7" Type="http://schemas.openxmlformats.org/officeDocument/2006/relationships/hyperlink" Target="https://docs.google.com/document/d/1DbuAw1bpKPTXjpUOYG36q1yrtlCk7uQPCfCTcSnhqzc/edit?tab=t.5rftizycxm91" TargetMode="External"/><Relationship Id="rId8" Type="http://schemas.openxmlformats.org/officeDocument/2006/relationships/hyperlink" Target="https://www.notion.so/278b55446e5b80dc8bdacd2f1e7b4df5?v=278b55446e5b80eb9ccd000c88895562&amp;source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  <c r="G1" s="3"/>
      <c r="H1" s="2"/>
      <c r="I1" s="2"/>
      <c r="J1" s="2"/>
      <c r="K1" s="2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7"/>
      <c r="CA1" s="7"/>
      <c r="CB1" s="7"/>
      <c r="CC1" s="7"/>
      <c r="CD1" s="8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</row>
    <row r="2">
      <c r="A2" s="10" t="str">
        <f>IFERROR(Concatenate("Project Period : ",TEXT(MIN(H$7:$I1000),"YY년 M월 D일"),"~",TEXT(Max(I$7:$J1000),"YY년 M월 D일")),"")</f>
        <v/>
      </c>
      <c r="B2" s="2"/>
      <c r="C2" s="2"/>
      <c r="D2" s="2"/>
      <c r="E2" s="2"/>
      <c r="F2" s="11"/>
      <c r="G2" s="11"/>
      <c r="H2" s="11"/>
      <c r="I2" s="11"/>
      <c r="J2" s="11"/>
      <c r="K2" s="11"/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5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</row>
    <row r="3">
      <c r="A3" s="17" t="s">
        <v>1</v>
      </c>
      <c r="B3" s="17" t="s">
        <v>2</v>
      </c>
      <c r="C3" s="18" t="s">
        <v>3</v>
      </c>
      <c r="D3" s="18" t="s">
        <v>4</v>
      </c>
      <c r="E3" s="18" t="s">
        <v>5</v>
      </c>
      <c r="F3" s="17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9" t="s">
        <v>12</v>
      </c>
      <c r="M3" s="20" t="str">
        <f>TEXT(M4,"mmm")</f>
        <v>9월</v>
      </c>
      <c r="N3" s="21"/>
      <c r="O3" s="21"/>
      <c r="P3" s="21"/>
      <c r="Q3" s="21"/>
      <c r="R3" s="21"/>
      <c r="S3" s="21"/>
      <c r="T3" s="21"/>
      <c r="U3" s="21"/>
      <c r="V3" s="21"/>
      <c r="W3" s="22" t="str">
        <f>TEXT(W4,"mmm")</f>
        <v>9월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2" t="str">
        <f>TEXT(AQ4,"mmm")</f>
        <v>10월</v>
      </c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2" t="str">
        <f>TEXT(BC4,"mmm")</f>
        <v>11월</v>
      </c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2" t="str">
        <f>TEXT(BZ4,"mmm")</f>
        <v>12월</v>
      </c>
      <c r="CA3" s="21"/>
      <c r="CB3" s="21"/>
      <c r="CC3" s="21"/>
      <c r="CD3" s="23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5" t="str">
        <f>TEXT(CT4,"mmm")</f>
        <v>1월</v>
      </c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8">
        <f>H5-weekday(H5,2)+1</f>
        <v>45915</v>
      </c>
      <c r="N4" s="29">
        <f t="shared" ref="N4:Q4" si="1">M4+1</f>
        <v>45916</v>
      </c>
      <c r="O4" s="29">
        <f t="shared" si="1"/>
        <v>45917</v>
      </c>
      <c r="P4" s="29">
        <f t="shared" si="1"/>
        <v>45918</v>
      </c>
      <c r="Q4" s="29">
        <f t="shared" si="1"/>
        <v>45919</v>
      </c>
      <c r="R4" s="29">
        <f>Q4+3</f>
        <v>45922</v>
      </c>
      <c r="S4" s="29">
        <f t="shared" ref="S4:V4" si="2">R4+1</f>
        <v>45923</v>
      </c>
      <c r="T4" s="29">
        <f t="shared" si="2"/>
        <v>45924</v>
      </c>
      <c r="U4" s="29">
        <f t="shared" si="2"/>
        <v>45925</v>
      </c>
      <c r="V4" s="29">
        <f t="shared" si="2"/>
        <v>45926</v>
      </c>
      <c r="W4" s="29">
        <f>V4+3</f>
        <v>45929</v>
      </c>
      <c r="X4" s="29">
        <f t="shared" ref="X4:AA4" si="3">W4+1</f>
        <v>45930</v>
      </c>
      <c r="Y4" s="29">
        <f t="shared" si="3"/>
        <v>45931</v>
      </c>
      <c r="Z4" s="29">
        <f t="shared" si="3"/>
        <v>45932</v>
      </c>
      <c r="AA4" s="29">
        <f t="shared" si="3"/>
        <v>45933</v>
      </c>
      <c r="AB4" s="29">
        <f>AA4+3</f>
        <v>45936</v>
      </c>
      <c r="AC4" s="29">
        <f t="shared" ref="AC4:AF4" si="4">AB4+1</f>
        <v>45937</v>
      </c>
      <c r="AD4" s="29">
        <f t="shared" si="4"/>
        <v>45938</v>
      </c>
      <c r="AE4" s="29">
        <f t="shared" si="4"/>
        <v>45939</v>
      </c>
      <c r="AF4" s="29">
        <f t="shared" si="4"/>
        <v>45940</v>
      </c>
      <c r="AG4" s="29">
        <f>AF4+3</f>
        <v>45943</v>
      </c>
      <c r="AH4" s="29">
        <f t="shared" ref="AH4:AK4" si="5">AG4+1</f>
        <v>45944</v>
      </c>
      <c r="AI4" s="29">
        <f t="shared" si="5"/>
        <v>45945</v>
      </c>
      <c r="AJ4" s="29">
        <f t="shared" si="5"/>
        <v>45946</v>
      </c>
      <c r="AK4" s="29">
        <f t="shared" si="5"/>
        <v>45947</v>
      </c>
      <c r="AL4" s="29">
        <f>AK4+3</f>
        <v>45950</v>
      </c>
      <c r="AM4" s="29">
        <f t="shared" ref="AM4:AP4" si="6">AL4+1</f>
        <v>45951</v>
      </c>
      <c r="AN4" s="29">
        <f t="shared" si="6"/>
        <v>45952</v>
      </c>
      <c r="AO4" s="29">
        <f t="shared" si="6"/>
        <v>45953</v>
      </c>
      <c r="AP4" s="29">
        <f t="shared" si="6"/>
        <v>45954</v>
      </c>
      <c r="AQ4" s="29">
        <f>AP4+3</f>
        <v>45957</v>
      </c>
      <c r="AR4" s="29">
        <f t="shared" ref="AR4:AU4" si="7">AQ4+1</f>
        <v>45958</v>
      </c>
      <c r="AS4" s="29">
        <f t="shared" si="7"/>
        <v>45959</v>
      </c>
      <c r="AT4" s="29">
        <f t="shared" si="7"/>
        <v>45960</v>
      </c>
      <c r="AU4" s="29">
        <f t="shared" si="7"/>
        <v>45961</v>
      </c>
      <c r="AV4" s="29">
        <f>AU4+3</f>
        <v>45964</v>
      </c>
      <c r="AW4" s="29">
        <f t="shared" ref="AW4:AZ4" si="8">AV4+1</f>
        <v>45965</v>
      </c>
      <c r="AX4" s="29">
        <f t="shared" si="8"/>
        <v>45966</v>
      </c>
      <c r="AY4" s="29">
        <f t="shared" si="8"/>
        <v>45967</v>
      </c>
      <c r="AZ4" s="29">
        <f t="shared" si="8"/>
        <v>45968</v>
      </c>
      <c r="BA4" s="29">
        <f>AZ4+3</f>
        <v>45971</v>
      </c>
      <c r="BB4" s="29">
        <f t="shared" ref="BB4:BE4" si="9">BA4+1</f>
        <v>45972</v>
      </c>
      <c r="BC4" s="29">
        <f t="shared" si="9"/>
        <v>45973</v>
      </c>
      <c r="BD4" s="29">
        <f t="shared" si="9"/>
        <v>45974</v>
      </c>
      <c r="BE4" s="29">
        <f t="shared" si="9"/>
        <v>45975</v>
      </c>
      <c r="BF4" s="29">
        <f>BE4+3</f>
        <v>45978</v>
      </c>
      <c r="BG4" s="29">
        <f t="shared" ref="BG4:BJ4" si="10">BF4+1</f>
        <v>45979</v>
      </c>
      <c r="BH4" s="29">
        <f t="shared" si="10"/>
        <v>45980</v>
      </c>
      <c r="BI4" s="29">
        <f t="shared" si="10"/>
        <v>45981</v>
      </c>
      <c r="BJ4" s="30">
        <f t="shared" si="10"/>
        <v>45982</v>
      </c>
      <c r="BK4" s="29">
        <f>BJ4+3</f>
        <v>45985</v>
      </c>
      <c r="BL4" s="29">
        <f t="shared" ref="BL4:BO4" si="11">BK4+1</f>
        <v>45986</v>
      </c>
      <c r="BM4" s="29">
        <f t="shared" si="11"/>
        <v>45987</v>
      </c>
      <c r="BN4" s="29">
        <f t="shared" si="11"/>
        <v>45988</v>
      </c>
      <c r="BO4" s="29">
        <f t="shared" si="11"/>
        <v>45989</v>
      </c>
      <c r="BP4" s="29">
        <f>BO4+3</f>
        <v>45992</v>
      </c>
      <c r="BQ4" s="29">
        <f t="shared" ref="BQ4:BT4" si="12">BP4+1</f>
        <v>45993</v>
      </c>
      <c r="BR4" s="29">
        <f t="shared" si="12"/>
        <v>45994</v>
      </c>
      <c r="BS4" s="29">
        <f t="shared" si="12"/>
        <v>45995</v>
      </c>
      <c r="BT4" s="29">
        <f t="shared" si="12"/>
        <v>45996</v>
      </c>
      <c r="BU4" s="29">
        <f>BT4+3</f>
        <v>45999</v>
      </c>
      <c r="BV4" s="29">
        <f t="shared" ref="BV4:BY4" si="13">BU4+1</f>
        <v>46000</v>
      </c>
      <c r="BW4" s="29">
        <f t="shared" si="13"/>
        <v>46001</v>
      </c>
      <c r="BX4" s="29">
        <f t="shared" si="13"/>
        <v>46002</v>
      </c>
      <c r="BY4" s="29">
        <f t="shared" si="13"/>
        <v>46003</v>
      </c>
      <c r="BZ4" s="29">
        <f>BY4+3</f>
        <v>46006</v>
      </c>
      <c r="CA4" s="29">
        <f t="shared" ref="CA4:CD4" si="14">BZ4+1</f>
        <v>46007</v>
      </c>
      <c r="CB4" s="29">
        <f t="shared" si="14"/>
        <v>46008</v>
      </c>
      <c r="CC4" s="29">
        <f t="shared" si="14"/>
        <v>46009</v>
      </c>
      <c r="CD4" s="31">
        <f t="shared" si="14"/>
        <v>46010</v>
      </c>
      <c r="CE4" s="32">
        <f>CD4+3</f>
        <v>46013</v>
      </c>
      <c r="CF4" s="32">
        <f t="shared" ref="CF4:CI4" si="15">CE4+1</f>
        <v>46014</v>
      </c>
      <c r="CG4" s="32">
        <f t="shared" si="15"/>
        <v>46015</v>
      </c>
      <c r="CH4" s="32">
        <f t="shared" si="15"/>
        <v>46016</v>
      </c>
      <c r="CI4" s="32">
        <f t="shared" si="15"/>
        <v>46017</v>
      </c>
      <c r="CJ4" s="32">
        <f>CI4+3</f>
        <v>46020</v>
      </c>
      <c r="CK4" s="32">
        <f t="shared" ref="CK4:CN4" si="16">CJ4+1</f>
        <v>46021</v>
      </c>
      <c r="CL4" s="32">
        <f t="shared" si="16"/>
        <v>46022</v>
      </c>
      <c r="CM4" s="32">
        <f t="shared" si="16"/>
        <v>46023</v>
      </c>
      <c r="CN4" s="32">
        <f t="shared" si="16"/>
        <v>46024</v>
      </c>
      <c r="CO4" s="32">
        <f>CN4+3</f>
        <v>46027</v>
      </c>
      <c r="CP4" s="32">
        <f t="shared" ref="CP4:CS4" si="17">CO4+1</f>
        <v>46028</v>
      </c>
      <c r="CQ4" s="32">
        <f t="shared" si="17"/>
        <v>46029</v>
      </c>
      <c r="CR4" s="32">
        <f t="shared" si="17"/>
        <v>46030</v>
      </c>
      <c r="CS4" s="32">
        <f t="shared" si="17"/>
        <v>46031</v>
      </c>
      <c r="CT4" s="33">
        <f>CS4+3</f>
        <v>46034</v>
      </c>
      <c r="CU4" s="32">
        <f t="shared" ref="CU4:CX4" si="18">CT4+1</f>
        <v>46035</v>
      </c>
      <c r="CV4" s="32">
        <f t="shared" si="18"/>
        <v>46036</v>
      </c>
      <c r="CW4" s="32">
        <f t="shared" si="18"/>
        <v>46037</v>
      </c>
      <c r="CX4" s="32">
        <f t="shared" si="18"/>
        <v>46038</v>
      </c>
      <c r="CY4" s="32">
        <f>CX4+3</f>
        <v>46041</v>
      </c>
      <c r="CZ4" s="32">
        <f t="shared" ref="CZ4:DC4" si="19">CY4+1</f>
        <v>46042</v>
      </c>
      <c r="DA4" s="32">
        <f t="shared" si="19"/>
        <v>46043</v>
      </c>
      <c r="DB4" s="32">
        <f t="shared" si="19"/>
        <v>46044</v>
      </c>
      <c r="DC4" s="32">
        <f t="shared" si="19"/>
        <v>46045</v>
      </c>
      <c r="DD4" s="32">
        <f>DC4+3</f>
        <v>46048</v>
      </c>
      <c r="DE4" s="32">
        <f t="shared" ref="DE4:DH4" si="20">DD4+1</f>
        <v>46049</v>
      </c>
      <c r="DF4" s="32">
        <f t="shared" si="20"/>
        <v>46050</v>
      </c>
      <c r="DG4" s="32">
        <f t="shared" si="20"/>
        <v>46051</v>
      </c>
      <c r="DH4" s="32">
        <f t="shared" si="20"/>
        <v>46052</v>
      </c>
      <c r="DI4" s="32">
        <f>DH4+3</f>
        <v>46055</v>
      </c>
      <c r="DJ4" s="32">
        <f t="shared" ref="DJ4:DM4" si="21">DI4+1</f>
        <v>46056</v>
      </c>
      <c r="DK4" s="32">
        <f t="shared" si="21"/>
        <v>46057</v>
      </c>
      <c r="DL4" s="32">
        <f t="shared" si="21"/>
        <v>46058</v>
      </c>
      <c r="DM4" s="32">
        <f t="shared" si="21"/>
        <v>46059</v>
      </c>
      <c r="DN4" s="32">
        <f>DM4+3</f>
        <v>46062</v>
      </c>
      <c r="DO4" s="32">
        <f t="shared" ref="DO4:DP4" si="22">DN4+1</f>
        <v>46063</v>
      </c>
      <c r="DP4" s="32">
        <f t="shared" si="22"/>
        <v>46064</v>
      </c>
    </row>
    <row r="5">
      <c r="A5" s="34" t="s">
        <v>13</v>
      </c>
      <c r="B5" s="35"/>
      <c r="C5" s="35"/>
      <c r="D5" s="36"/>
      <c r="E5" s="36"/>
      <c r="F5" s="37"/>
      <c r="G5" s="38"/>
      <c r="H5" s="39">
        <v>45919.0</v>
      </c>
      <c r="I5" s="39">
        <v>45926.0</v>
      </c>
      <c r="J5" s="36" t="str">
        <f t="shared" ref="J5:J41" si="23">IF(C5="","",NETWORKDAYS(H5,I5,Filter!D$2:D1000))</f>
        <v/>
      </c>
      <c r="K5" s="40" t="s">
        <v>14</v>
      </c>
      <c r="L5" s="41"/>
      <c r="M5" s="42"/>
      <c r="N5" s="42"/>
      <c r="O5" s="42"/>
      <c r="P5" s="42"/>
      <c r="Q5" s="43"/>
      <c r="R5" s="43"/>
      <c r="S5" s="43"/>
      <c r="T5" s="43"/>
      <c r="U5" s="43"/>
      <c r="V5" s="43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</row>
    <row r="6">
      <c r="A6" s="44" t="s">
        <v>15</v>
      </c>
      <c r="B6" s="45" t="s">
        <v>16</v>
      </c>
      <c r="C6" s="46" t="s">
        <v>17</v>
      </c>
      <c r="D6" s="47"/>
      <c r="E6" s="47"/>
      <c r="F6" s="48"/>
      <c r="G6" s="49" t="s">
        <v>18</v>
      </c>
      <c r="H6" s="50">
        <v>45919.0</v>
      </c>
      <c r="I6" s="50">
        <v>45919.0</v>
      </c>
      <c r="J6" s="49" t="str">
        <f t="shared" si="23"/>
        <v>#REF!</v>
      </c>
      <c r="K6" s="49" t="s">
        <v>14</v>
      </c>
      <c r="L6" s="51"/>
      <c r="M6" s="5"/>
      <c r="N6" s="52"/>
      <c r="O6" s="52"/>
      <c r="P6" s="52"/>
      <c r="Q6" s="43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3"/>
      <c r="CE6" s="54"/>
      <c r="CF6" s="4"/>
      <c r="CG6" s="4"/>
      <c r="CH6" s="4"/>
      <c r="CI6" s="55"/>
      <c r="CJ6" s="54"/>
      <c r="CK6" s="4"/>
      <c r="CL6" s="4"/>
      <c r="CM6" s="4"/>
      <c r="CN6" s="55"/>
      <c r="CO6" s="54"/>
      <c r="CP6" s="4"/>
      <c r="CQ6" s="4"/>
      <c r="CR6" s="4"/>
      <c r="CS6" s="55"/>
      <c r="CT6" s="54"/>
      <c r="CU6" s="4"/>
      <c r="CV6" s="4"/>
      <c r="CW6" s="4"/>
      <c r="CX6" s="55"/>
      <c r="CY6" s="54"/>
      <c r="CZ6" s="4"/>
      <c r="DA6" s="4"/>
      <c r="DB6" s="4"/>
      <c r="DC6" s="55"/>
      <c r="DD6" s="54"/>
      <c r="DE6" s="4"/>
      <c r="DF6" s="4"/>
      <c r="DG6" s="4"/>
      <c r="DH6" s="55"/>
      <c r="DI6" s="54"/>
      <c r="DJ6" s="4"/>
      <c r="DK6" s="4"/>
      <c r="DL6" s="4"/>
      <c r="DM6" s="55"/>
      <c r="DN6" s="54"/>
      <c r="DO6" s="4"/>
      <c r="DP6" s="4"/>
    </row>
    <row r="7">
      <c r="A7" s="56"/>
      <c r="B7" s="56"/>
      <c r="C7" s="46" t="s">
        <v>19</v>
      </c>
      <c r="D7" s="47"/>
      <c r="E7" s="57" t="s">
        <v>20</v>
      </c>
      <c r="F7" s="48"/>
      <c r="G7" s="49" t="s">
        <v>18</v>
      </c>
      <c r="H7" s="50">
        <v>45919.0</v>
      </c>
      <c r="I7" s="50">
        <v>45919.0</v>
      </c>
      <c r="J7" s="49" t="str">
        <f t="shared" si="23"/>
        <v>#REF!</v>
      </c>
      <c r="K7" s="49" t="s">
        <v>14</v>
      </c>
      <c r="L7" s="51"/>
      <c r="M7" s="5"/>
      <c r="N7" s="52"/>
      <c r="O7" s="52"/>
      <c r="P7" s="52"/>
      <c r="Q7" s="43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3"/>
      <c r="CE7" s="54"/>
      <c r="CF7" s="4"/>
      <c r="CG7" s="4"/>
      <c r="CH7" s="4"/>
      <c r="CI7" s="55"/>
      <c r="CJ7" s="54"/>
      <c r="CK7" s="4"/>
      <c r="CL7" s="4"/>
      <c r="CM7" s="4"/>
      <c r="CN7" s="55"/>
      <c r="CO7" s="54"/>
      <c r="CP7" s="4"/>
      <c r="CQ7" s="4"/>
      <c r="CR7" s="4"/>
      <c r="CS7" s="55"/>
      <c r="CT7" s="54"/>
      <c r="CU7" s="4"/>
      <c r="CV7" s="4"/>
      <c r="CW7" s="4"/>
      <c r="CX7" s="55"/>
      <c r="CY7" s="54"/>
      <c r="CZ7" s="4"/>
      <c r="DA7" s="4"/>
      <c r="DB7" s="4"/>
      <c r="DC7" s="55"/>
      <c r="DD7" s="54"/>
      <c r="DE7" s="4"/>
      <c r="DF7" s="4"/>
      <c r="DG7" s="4"/>
      <c r="DH7" s="55"/>
      <c r="DI7" s="54"/>
      <c r="DJ7" s="4"/>
      <c r="DK7" s="4"/>
      <c r="DL7" s="4"/>
      <c r="DM7" s="55"/>
      <c r="DN7" s="54"/>
      <c r="DO7" s="4"/>
      <c r="DP7" s="4"/>
    </row>
    <row r="8">
      <c r="A8" s="56"/>
      <c r="B8" s="56"/>
      <c r="C8" s="46" t="s">
        <v>21</v>
      </c>
      <c r="D8" s="47"/>
      <c r="E8" s="57" t="s">
        <v>22</v>
      </c>
      <c r="F8" s="48"/>
      <c r="G8" s="49" t="s">
        <v>18</v>
      </c>
      <c r="H8" s="50">
        <v>45919.0</v>
      </c>
      <c r="I8" s="50">
        <v>45919.0</v>
      </c>
      <c r="J8" s="49" t="str">
        <f t="shared" si="23"/>
        <v>#REF!</v>
      </c>
      <c r="K8" s="49" t="s">
        <v>14</v>
      </c>
      <c r="L8" s="51"/>
      <c r="M8" s="5"/>
      <c r="N8" s="52"/>
      <c r="O8" s="52"/>
      <c r="P8" s="52"/>
      <c r="Q8" s="43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3"/>
      <c r="CE8" s="54"/>
      <c r="CF8" s="4"/>
      <c r="CG8" s="4"/>
      <c r="CH8" s="4"/>
      <c r="CI8" s="55"/>
      <c r="CJ8" s="54"/>
      <c r="CK8" s="4"/>
      <c r="CL8" s="4"/>
      <c r="CM8" s="4"/>
      <c r="CN8" s="55"/>
      <c r="CO8" s="54"/>
      <c r="CP8" s="4"/>
      <c r="CQ8" s="4"/>
      <c r="CR8" s="4"/>
      <c r="CS8" s="55"/>
      <c r="CT8" s="54"/>
      <c r="CU8" s="4"/>
      <c r="CV8" s="4"/>
      <c r="CW8" s="4"/>
      <c r="CX8" s="55"/>
      <c r="CY8" s="54"/>
      <c r="CZ8" s="4"/>
      <c r="DA8" s="4"/>
      <c r="DB8" s="4"/>
      <c r="DC8" s="55"/>
      <c r="DD8" s="54"/>
      <c r="DE8" s="4"/>
      <c r="DF8" s="4"/>
      <c r="DG8" s="4"/>
      <c r="DH8" s="55"/>
      <c r="DI8" s="54"/>
      <c r="DJ8" s="4"/>
      <c r="DK8" s="4"/>
      <c r="DL8" s="4"/>
      <c r="DM8" s="55"/>
      <c r="DN8" s="54"/>
      <c r="DO8" s="4"/>
      <c r="DP8" s="4"/>
    </row>
    <row r="9">
      <c r="A9" s="56"/>
      <c r="B9" s="56"/>
      <c r="C9" s="46" t="s">
        <v>23</v>
      </c>
      <c r="D9" s="47"/>
      <c r="E9" s="47"/>
      <c r="F9" s="48"/>
      <c r="G9" s="49" t="s">
        <v>18</v>
      </c>
      <c r="H9" s="58">
        <v>45919.0</v>
      </c>
      <c r="I9" s="58">
        <v>45919.0</v>
      </c>
      <c r="J9" s="49" t="str">
        <f t="shared" si="23"/>
        <v>#REF!</v>
      </c>
      <c r="K9" s="49" t="s">
        <v>14</v>
      </c>
      <c r="L9" s="51"/>
      <c r="M9" s="5"/>
      <c r="N9" s="52"/>
      <c r="O9" s="52"/>
      <c r="P9" s="52"/>
      <c r="Q9" s="43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3"/>
      <c r="CE9" s="54"/>
      <c r="CF9" s="4"/>
      <c r="CG9" s="4"/>
      <c r="CH9" s="4"/>
      <c r="CI9" s="55"/>
      <c r="CJ9" s="54"/>
      <c r="CK9" s="4"/>
      <c r="CL9" s="4"/>
      <c r="CM9" s="4"/>
      <c r="CN9" s="55"/>
      <c r="CO9" s="54"/>
      <c r="CP9" s="4"/>
      <c r="CQ9" s="4"/>
      <c r="CR9" s="4"/>
      <c r="CS9" s="55"/>
      <c r="CT9" s="54"/>
      <c r="CU9" s="4"/>
      <c r="CV9" s="4"/>
      <c r="CW9" s="4"/>
      <c r="CX9" s="55"/>
      <c r="CY9" s="54"/>
      <c r="CZ9" s="4"/>
      <c r="DA9" s="4"/>
      <c r="DB9" s="4"/>
      <c r="DC9" s="55"/>
      <c r="DD9" s="54"/>
      <c r="DE9" s="4"/>
      <c r="DF9" s="4"/>
      <c r="DG9" s="4"/>
      <c r="DH9" s="55"/>
      <c r="DI9" s="54"/>
      <c r="DJ9" s="4"/>
      <c r="DK9" s="4"/>
      <c r="DL9" s="4"/>
      <c r="DM9" s="55"/>
      <c r="DN9" s="54"/>
      <c r="DO9" s="4"/>
      <c r="DP9" s="4"/>
    </row>
    <row r="10">
      <c r="A10" s="56"/>
      <c r="B10" s="56"/>
      <c r="C10" s="46" t="s">
        <v>24</v>
      </c>
      <c r="D10" s="47"/>
      <c r="E10" s="57" t="s">
        <v>20</v>
      </c>
      <c r="F10" s="48"/>
      <c r="G10" s="49" t="s">
        <v>18</v>
      </c>
      <c r="H10" s="58">
        <v>45919.0</v>
      </c>
      <c r="I10" s="58">
        <v>45919.0</v>
      </c>
      <c r="J10" s="49" t="str">
        <f t="shared" si="23"/>
        <v>#REF!</v>
      </c>
      <c r="K10" s="49" t="s">
        <v>14</v>
      </c>
      <c r="L10" s="51"/>
      <c r="M10" s="5"/>
      <c r="N10" s="52"/>
      <c r="O10" s="52"/>
      <c r="P10" s="52"/>
      <c r="Q10" s="43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3"/>
      <c r="CE10" s="54"/>
      <c r="CF10" s="4"/>
      <c r="CG10" s="4"/>
      <c r="CH10" s="4"/>
      <c r="CI10" s="55"/>
      <c r="CJ10" s="54"/>
      <c r="CK10" s="4"/>
      <c r="CL10" s="4"/>
      <c r="CM10" s="4"/>
      <c r="CN10" s="55"/>
      <c r="CO10" s="54"/>
      <c r="CP10" s="4"/>
      <c r="CQ10" s="4"/>
      <c r="CR10" s="4"/>
      <c r="CS10" s="55"/>
      <c r="CT10" s="54"/>
      <c r="CU10" s="4"/>
      <c r="CV10" s="4"/>
      <c r="CW10" s="4"/>
      <c r="CX10" s="55"/>
      <c r="CY10" s="54"/>
      <c r="CZ10" s="4"/>
      <c r="DA10" s="4"/>
      <c r="DB10" s="4"/>
      <c r="DC10" s="55"/>
      <c r="DD10" s="54"/>
      <c r="DE10" s="4"/>
      <c r="DF10" s="4"/>
      <c r="DG10" s="4"/>
      <c r="DH10" s="55"/>
      <c r="DI10" s="54"/>
      <c r="DJ10" s="4"/>
      <c r="DK10" s="4"/>
      <c r="DL10" s="4"/>
      <c r="DM10" s="55"/>
      <c r="DN10" s="54"/>
      <c r="DO10" s="4"/>
      <c r="DP10" s="4"/>
    </row>
    <row r="11">
      <c r="A11" s="26"/>
      <c r="B11" s="26"/>
      <c r="C11" s="46" t="s">
        <v>25</v>
      </c>
      <c r="D11" s="47"/>
      <c r="E11" s="57" t="s">
        <v>20</v>
      </c>
      <c r="F11" s="48"/>
      <c r="G11" s="49" t="s">
        <v>18</v>
      </c>
      <c r="H11" s="58">
        <v>45919.0</v>
      </c>
      <c r="I11" s="58">
        <v>45923.0</v>
      </c>
      <c r="J11" s="49" t="str">
        <f t="shared" si="23"/>
        <v>#REF!</v>
      </c>
      <c r="K11" s="49" t="s">
        <v>14</v>
      </c>
      <c r="L11" s="51"/>
      <c r="M11" s="5"/>
      <c r="N11" s="52"/>
      <c r="O11" s="52"/>
      <c r="P11" s="52"/>
      <c r="Q11" s="43"/>
      <c r="R11" s="43"/>
      <c r="S11" s="43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3"/>
      <c r="CE11" s="54"/>
      <c r="CF11" s="4"/>
      <c r="CG11" s="4"/>
      <c r="CH11" s="4"/>
      <c r="CI11" s="55"/>
      <c r="CJ11" s="54"/>
      <c r="CK11" s="4"/>
      <c r="CL11" s="4"/>
      <c r="CM11" s="4"/>
      <c r="CN11" s="55"/>
      <c r="CO11" s="54"/>
      <c r="CP11" s="4"/>
      <c r="CQ11" s="4"/>
      <c r="CR11" s="4"/>
      <c r="CS11" s="55"/>
      <c r="CT11" s="54"/>
      <c r="CU11" s="4"/>
      <c r="CV11" s="4"/>
      <c r="CW11" s="4"/>
      <c r="CX11" s="55"/>
      <c r="CY11" s="54"/>
      <c r="CZ11" s="4"/>
      <c r="DA11" s="4"/>
      <c r="DB11" s="4"/>
      <c r="DC11" s="55"/>
      <c r="DD11" s="54"/>
      <c r="DE11" s="4"/>
      <c r="DF11" s="4"/>
      <c r="DG11" s="4"/>
      <c r="DH11" s="55"/>
      <c r="DI11" s="54"/>
      <c r="DJ11" s="4"/>
      <c r="DK11" s="4"/>
      <c r="DL11" s="4"/>
      <c r="DM11" s="55"/>
      <c r="DN11" s="54"/>
      <c r="DO11" s="4"/>
      <c r="DP11" s="4"/>
    </row>
    <row r="12">
      <c r="A12" s="34" t="s">
        <v>26</v>
      </c>
      <c r="B12" s="35"/>
      <c r="C12" s="35"/>
      <c r="D12" s="36"/>
      <c r="E12" s="36"/>
      <c r="F12" s="37"/>
      <c r="G12" s="38"/>
      <c r="H12" s="39">
        <v>45919.0</v>
      </c>
      <c r="I12" s="39">
        <v>45926.0</v>
      </c>
      <c r="J12" s="36" t="str">
        <f t="shared" si="23"/>
        <v/>
      </c>
      <c r="K12" s="40" t="s">
        <v>14</v>
      </c>
      <c r="L12" s="41"/>
      <c r="M12" s="42"/>
      <c r="N12" s="42"/>
      <c r="O12" s="42"/>
      <c r="P12" s="42"/>
      <c r="Q12" s="43"/>
      <c r="R12" s="43"/>
      <c r="S12" s="43"/>
      <c r="T12" s="43"/>
      <c r="U12" s="43"/>
      <c r="V12" s="43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</row>
    <row r="13">
      <c r="A13" s="44" t="s">
        <v>27</v>
      </c>
      <c r="B13" s="59" t="s">
        <v>28</v>
      </c>
      <c r="C13" s="60" t="s">
        <v>29</v>
      </c>
      <c r="D13" s="61" t="s">
        <v>30</v>
      </c>
      <c r="E13" s="62" t="s">
        <v>29</v>
      </c>
      <c r="F13" s="48"/>
      <c r="G13" s="63" t="s">
        <v>18</v>
      </c>
      <c r="H13" s="58">
        <v>45919.0</v>
      </c>
      <c r="I13" s="58">
        <v>45923.0</v>
      </c>
      <c r="J13" s="49" t="str">
        <f t="shared" si="23"/>
        <v>#REF!</v>
      </c>
      <c r="K13" s="64" t="s">
        <v>14</v>
      </c>
      <c r="L13" s="65"/>
      <c r="M13" s="52"/>
      <c r="N13" s="52"/>
      <c r="O13" s="52"/>
      <c r="P13" s="52"/>
      <c r="Q13" s="43"/>
      <c r="R13" s="43"/>
      <c r="S13" s="43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3"/>
      <c r="CE13" s="54"/>
      <c r="CF13" s="4"/>
      <c r="CG13" s="4"/>
      <c r="CH13" s="4"/>
      <c r="CI13" s="55"/>
      <c r="CJ13" s="54"/>
      <c r="CK13" s="4"/>
      <c r="CL13" s="4"/>
      <c r="CM13" s="4"/>
      <c r="CN13" s="55"/>
      <c r="CO13" s="54"/>
      <c r="CP13" s="4"/>
      <c r="CQ13" s="4"/>
      <c r="CR13" s="4"/>
      <c r="CS13" s="55"/>
      <c r="CT13" s="54"/>
      <c r="CU13" s="4"/>
      <c r="CV13" s="4"/>
      <c r="CW13" s="4"/>
      <c r="CX13" s="55"/>
      <c r="CY13" s="54"/>
      <c r="CZ13" s="4"/>
      <c r="DA13" s="4"/>
      <c r="DB13" s="4"/>
      <c r="DC13" s="55"/>
      <c r="DD13" s="54"/>
      <c r="DE13" s="4"/>
      <c r="DF13" s="4"/>
      <c r="DG13" s="4"/>
      <c r="DH13" s="55"/>
      <c r="DI13" s="54"/>
      <c r="DJ13" s="4"/>
      <c r="DK13" s="4"/>
      <c r="DL13" s="4"/>
      <c r="DM13" s="55"/>
      <c r="DN13" s="54"/>
      <c r="DO13" s="4"/>
      <c r="DP13" s="4"/>
    </row>
    <row r="14">
      <c r="A14" s="56"/>
      <c r="B14" s="56"/>
      <c r="C14" s="56"/>
      <c r="D14" s="61" t="s">
        <v>31</v>
      </c>
      <c r="E14" s="56"/>
      <c r="F14" s="48"/>
      <c r="G14" s="56"/>
      <c r="H14" s="58">
        <v>45919.0</v>
      </c>
      <c r="I14" s="58">
        <v>45923.0</v>
      </c>
      <c r="J14" s="47" t="str">
        <f t="shared" si="23"/>
        <v/>
      </c>
      <c r="K14" s="64" t="s">
        <v>14</v>
      </c>
      <c r="L14" s="65"/>
      <c r="M14" s="52"/>
      <c r="N14" s="52"/>
      <c r="O14" s="52"/>
      <c r="P14" s="52"/>
      <c r="Q14" s="43"/>
      <c r="R14" s="43"/>
      <c r="S14" s="43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3"/>
      <c r="CE14" s="54"/>
      <c r="CF14" s="4"/>
      <c r="CG14" s="4"/>
      <c r="CH14" s="4"/>
      <c r="CI14" s="55"/>
      <c r="CJ14" s="54"/>
      <c r="CK14" s="4"/>
      <c r="CL14" s="4"/>
      <c r="CM14" s="4"/>
      <c r="CN14" s="55"/>
      <c r="CO14" s="54"/>
      <c r="CP14" s="4"/>
      <c r="CQ14" s="4"/>
      <c r="CR14" s="4"/>
      <c r="CS14" s="55"/>
      <c r="CT14" s="54"/>
      <c r="CU14" s="4"/>
      <c r="CV14" s="4"/>
      <c r="CW14" s="4"/>
      <c r="CX14" s="55"/>
      <c r="CY14" s="54"/>
      <c r="CZ14" s="4"/>
      <c r="DA14" s="4"/>
      <c r="DB14" s="4"/>
      <c r="DC14" s="55"/>
      <c r="DD14" s="54"/>
      <c r="DE14" s="4"/>
      <c r="DF14" s="4"/>
      <c r="DG14" s="4"/>
      <c r="DH14" s="55"/>
      <c r="DI14" s="54"/>
      <c r="DJ14" s="4"/>
      <c r="DK14" s="4"/>
      <c r="DL14" s="4"/>
      <c r="DM14" s="55"/>
      <c r="DN14" s="54"/>
      <c r="DO14" s="4"/>
      <c r="DP14" s="4"/>
    </row>
    <row r="15">
      <c r="A15" s="56"/>
      <c r="B15" s="56"/>
      <c r="C15" s="56"/>
      <c r="D15" s="61" t="s">
        <v>32</v>
      </c>
      <c r="E15" s="56"/>
      <c r="F15" s="48"/>
      <c r="G15" s="56"/>
      <c r="H15" s="58">
        <v>45919.0</v>
      </c>
      <c r="I15" s="58">
        <v>45923.0</v>
      </c>
      <c r="J15" s="47" t="str">
        <f t="shared" si="23"/>
        <v/>
      </c>
      <c r="K15" s="64" t="s">
        <v>14</v>
      </c>
      <c r="L15" s="65"/>
      <c r="M15" s="52"/>
      <c r="N15" s="52"/>
      <c r="O15" s="52"/>
      <c r="P15" s="52"/>
      <c r="Q15" s="43"/>
      <c r="R15" s="43"/>
      <c r="S15" s="4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3"/>
      <c r="CE15" s="54"/>
      <c r="CF15" s="4"/>
      <c r="CG15" s="4"/>
      <c r="CH15" s="4"/>
      <c r="CI15" s="55"/>
      <c r="CJ15" s="54"/>
      <c r="CK15" s="4"/>
      <c r="CL15" s="4"/>
      <c r="CM15" s="4"/>
      <c r="CN15" s="55"/>
      <c r="CO15" s="54"/>
      <c r="CP15" s="4"/>
      <c r="CQ15" s="4"/>
      <c r="CR15" s="4"/>
      <c r="CS15" s="55"/>
      <c r="CT15" s="54"/>
      <c r="CU15" s="4"/>
      <c r="CV15" s="4"/>
      <c r="CW15" s="4"/>
      <c r="CX15" s="55"/>
      <c r="CY15" s="54"/>
      <c r="CZ15" s="4"/>
      <c r="DA15" s="4"/>
      <c r="DB15" s="4"/>
      <c r="DC15" s="55"/>
      <c r="DD15" s="54"/>
      <c r="DE15" s="4"/>
      <c r="DF15" s="4"/>
      <c r="DG15" s="4"/>
      <c r="DH15" s="55"/>
      <c r="DI15" s="54"/>
      <c r="DJ15" s="4"/>
      <c r="DK15" s="4"/>
      <c r="DL15" s="4"/>
      <c r="DM15" s="55"/>
      <c r="DN15" s="54"/>
      <c r="DO15" s="4"/>
      <c r="DP15" s="4"/>
    </row>
    <row r="16">
      <c r="A16" s="56"/>
      <c r="B16" s="56"/>
      <c r="C16" s="56"/>
      <c r="D16" s="61" t="s">
        <v>33</v>
      </c>
      <c r="E16" s="56"/>
      <c r="F16" s="48"/>
      <c r="G16" s="56"/>
      <c r="H16" s="58">
        <v>45919.0</v>
      </c>
      <c r="I16" s="58">
        <v>45923.0</v>
      </c>
      <c r="J16" s="47" t="str">
        <f t="shared" si="23"/>
        <v/>
      </c>
      <c r="K16" s="64" t="s">
        <v>14</v>
      </c>
      <c r="L16" s="65"/>
      <c r="M16" s="52"/>
      <c r="N16" s="52"/>
      <c r="O16" s="52"/>
      <c r="P16" s="52"/>
      <c r="Q16" s="43"/>
      <c r="R16" s="43"/>
      <c r="S16" s="43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3"/>
      <c r="CE16" s="54"/>
      <c r="CF16" s="4"/>
      <c r="CG16" s="4"/>
      <c r="CH16" s="4"/>
      <c r="CI16" s="55"/>
      <c r="CJ16" s="54"/>
      <c r="CK16" s="4"/>
      <c r="CL16" s="4"/>
      <c r="CM16" s="4"/>
      <c r="CN16" s="55"/>
      <c r="CO16" s="54"/>
      <c r="CP16" s="4"/>
      <c r="CQ16" s="4"/>
      <c r="CR16" s="4"/>
      <c r="CS16" s="55"/>
      <c r="CT16" s="54"/>
      <c r="CU16" s="4"/>
      <c r="CV16" s="4"/>
      <c r="CW16" s="4"/>
      <c r="CX16" s="55"/>
      <c r="CY16" s="54"/>
      <c r="CZ16" s="4"/>
      <c r="DA16" s="4"/>
      <c r="DB16" s="4"/>
      <c r="DC16" s="55"/>
      <c r="DD16" s="54"/>
      <c r="DE16" s="4"/>
      <c r="DF16" s="4"/>
      <c r="DG16" s="4"/>
      <c r="DH16" s="55"/>
      <c r="DI16" s="54"/>
      <c r="DJ16" s="4"/>
      <c r="DK16" s="4"/>
      <c r="DL16" s="4"/>
      <c r="DM16" s="55"/>
      <c r="DN16" s="54"/>
      <c r="DO16" s="4"/>
      <c r="DP16" s="4"/>
    </row>
    <row r="17">
      <c r="A17" s="56"/>
      <c r="B17" s="56"/>
      <c r="C17" s="56"/>
      <c r="D17" s="61" t="s">
        <v>34</v>
      </c>
      <c r="E17" s="56"/>
      <c r="F17" s="48"/>
      <c r="G17" s="56"/>
      <c r="H17" s="58">
        <v>45919.0</v>
      </c>
      <c r="I17" s="58">
        <v>45923.0</v>
      </c>
      <c r="J17" s="47" t="str">
        <f t="shared" si="23"/>
        <v/>
      </c>
      <c r="K17" s="64" t="s">
        <v>14</v>
      </c>
      <c r="L17" s="65"/>
      <c r="M17" s="52"/>
      <c r="N17" s="52"/>
      <c r="O17" s="52"/>
      <c r="P17" s="52"/>
      <c r="Q17" s="43"/>
      <c r="R17" s="43"/>
      <c r="S17" s="43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3"/>
      <c r="CE17" s="54"/>
      <c r="CF17" s="4"/>
      <c r="CG17" s="4"/>
      <c r="CH17" s="4"/>
      <c r="CI17" s="55"/>
      <c r="CJ17" s="54"/>
      <c r="CK17" s="4"/>
      <c r="CL17" s="4"/>
      <c r="CM17" s="4"/>
      <c r="CN17" s="55"/>
      <c r="CO17" s="54"/>
      <c r="CP17" s="4"/>
      <c r="CQ17" s="4"/>
      <c r="CR17" s="4"/>
      <c r="CS17" s="55"/>
      <c r="CT17" s="54"/>
      <c r="CU17" s="4"/>
      <c r="CV17" s="4"/>
      <c r="CW17" s="4"/>
      <c r="CX17" s="55"/>
      <c r="CY17" s="54"/>
      <c r="CZ17" s="4"/>
      <c r="DA17" s="4"/>
      <c r="DB17" s="4"/>
      <c r="DC17" s="55"/>
      <c r="DD17" s="54"/>
      <c r="DE17" s="4"/>
      <c r="DF17" s="4"/>
      <c r="DG17" s="4"/>
      <c r="DH17" s="55"/>
      <c r="DI17" s="54"/>
      <c r="DJ17" s="4"/>
      <c r="DK17" s="4"/>
      <c r="DL17" s="4"/>
      <c r="DM17" s="55"/>
      <c r="DN17" s="54"/>
      <c r="DO17" s="4"/>
      <c r="DP17" s="4"/>
    </row>
    <row r="18">
      <c r="A18" s="56"/>
      <c r="B18" s="56"/>
      <c r="C18" s="26"/>
      <c r="D18" s="61" t="s">
        <v>35</v>
      </c>
      <c r="E18" s="26"/>
      <c r="F18" s="48"/>
      <c r="G18" s="26"/>
      <c r="H18" s="58">
        <v>45919.0</v>
      </c>
      <c r="I18" s="58">
        <v>45923.0</v>
      </c>
      <c r="J18" s="47" t="str">
        <f t="shared" si="23"/>
        <v/>
      </c>
      <c r="K18" s="64" t="s">
        <v>14</v>
      </c>
      <c r="L18" s="65"/>
      <c r="M18" s="52"/>
      <c r="N18" s="52"/>
      <c r="O18" s="52"/>
      <c r="P18" s="52"/>
      <c r="Q18" s="43"/>
      <c r="R18" s="43"/>
      <c r="S18" s="43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3"/>
      <c r="CE18" s="54"/>
      <c r="CF18" s="4"/>
      <c r="CG18" s="4"/>
      <c r="CH18" s="4"/>
      <c r="CI18" s="55"/>
      <c r="CJ18" s="54"/>
      <c r="CK18" s="4"/>
      <c r="CL18" s="4"/>
      <c r="CM18" s="4"/>
      <c r="CN18" s="55"/>
      <c r="CO18" s="54"/>
      <c r="CP18" s="4"/>
      <c r="CQ18" s="4"/>
      <c r="CR18" s="4"/>
      <c r="CS18" s="55"/>
      <c r="CT18" s="54"/>
      <c r="CU18" s="4"/>
      <c r="CV18" s="4"/>
      <c r="CW18" s="4"/>
      <c r="CX18" s="55"/>
      <c r="CY18" s="54"/>
      <c r="CZ18" s="4"/>
      <c r="DA18" s="4"/>
      <c r="DB18" s="4"/>
      <c r="DC18" s="55"/>
      <c r="DD18" s="54"/>
      <c r="DE18" s="4"/>
      <c r="DF18" s="4"/>
      <c r="DG18" s="4"/>
      <c r="DH18" s="55"/>
      <c r="DI18" s="54"/>
      <c r="DJ18" s="4"/>
      <c r="DK18" s="4"/>
      <c r="DL18" s="4"/>
      <c r="DM18" s="55"/>
      <c r="DN18" s="54"/>
      <c r="DO18" s="4"/>
      <c r="DP18" s="4"/>
    </row>
    <row r="19">
      <c r="A19" s="56"/>
      <c r="B19" s="56"/>
      <c r="C19" s="60" t="s">
        <v>36</v>
      </c>
      <c r="D19" s="66" t="s">
        <v>30</v>
      </c>
      <c r="E19" s="62" t="s">
        <v>36</v>
      </c>
      <c r="F19" s="48"/>
      <c r="G19" s="49" t="s">
        <v>37</v>
      </c>
      <c r="H19" s="58">
        <v>45923.0</v>
      </c>
      <c r="I19" s="58">
        <v>45923.0</v>
      </c>
      <c r="J19" s="49" t="str">
        <f t="shared" si="23"/>
        <v>#REF!</v>
      </c>
      <c r="K19" s="64" t="s">
        <v>14</v>
      </c>
      <c r="L19" s="65"/>
      <c r="M19" s="52"/>
      <c r="N19" s="52"/>
      <c r="O19" s="52"/>
      <c r="P19" s="52"/>
      <c r="Q19" s="52"/>
      <c r="R19" s="52"/>
      <c r="S19" s="43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3"/>
      <c r="CE19" s="54"/>
      <c r="CF19" s="4"/>
      <c r="CG19" s="4"/>
      <c r="CH19" s="4"/>
      <c r="CI19" s="55"/>
      <c r="CJ19" s="54"/>
      <c r="CK19" s="4"/>
      <c r="CL19" s="4"/>
      <c r="CM19" s="4"/>
      <c r="CN19" s="55"/>
      <c r="CO19" s="54"/>
      <c r="CP19" s="4"/>
      <c r="CQ19" s="4"/>
      <c r="CR19" s="4"/>
      <c r="CS19" s="55"/>
      <c r="CT19" s="54"/>
      <c r="CU19" s="4"/>
      <c r="CV19" s="4"/>
      <c r="CW19" s="4"/>
      <c r="CX19" s="55"/>
      <c r="CY19" s="54"/>
      <c r="CZ19" s="4"/>
      <c r="DA19" s="4"/>
      <c r="DB19" s="4"/>
      <c r="DC19" s="55"/>
      <c r="DD19" s="54"/>
      <c r="DE19" s="4"/>
      <c r="DF19" s="4"/>
      <c r="DG19" s="4"/>
      <c r="DH19" s="55"/>
      <c r="DI19" s="54"/>
      <c r="DJ19" s="4"/>
      <c r="DK19" s="4"/>
      <c r="DL19" s="4"/>
      <c r="DM19" s="55"/>
      <c r="DN19" s="54"/>
      <c r="DO19" s="4"/>
      <c r="DP19" s="4"/>
    </row>
    <row r="20">
      <c r="A20" s="56"/>
      <c r="B20" s="56"/>
      <c r="C20" s="56"/>
      <c r="D20" s="66" t="s">
        <v>38</v>
      </c>
      <c r="E20" s="56"/>
      <c r="F20" s="48"/>
      <c r="G20" s="49" t="s">
        <v>39</v>
      </c>
      <c r="H20" s="58">
        <v>45923.0</v>
      </c>
      <c r="I20" s="58">
        <v>45923.0</v>
      </c>
      <c r="J20" s="47" t="str">
        <f t="shared" si="23"/>
        <v/>
      </c>
      <c r="K20" s="64" t="s">
        <v>14</v>
      </c>
      <c r="L20" s="65"/>
      <c r="M20" s="52"/>
      <c r="N20" s="52"/>
      <c r="O20" s="52"/>
      <c r="P20" s="52"/>
      <c r="Q20" s="52"/>
      <c r="R20" s="52"/>
      <c r="S20" s="43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3"/>
      <c r="CE20" s="54"/>
      <c r="CF20" s="4"/>
      <c r="CG20" s="4"/>
      <c r="CH20" s="4"/>
      <c r="CI20" s="55"/>
      <c r="CJ20" s="54"/>
      <c r="CK20" s="4"/>
      <c r="CL20" s="4"/>
      <c r="CM20" s="4"/>
      <c r="CN20" s="55"/>
      <c r="CO20" s="54"/>
      <c r="CP20" s="4"/>
      <c r="CQ20" s="4"/>
      <c r="CR20" s="4"/>
      <c r="CS20" s="55"/>
      <c r="CT20" s="54"/>
      <c r="CU20" s="4"/>
      <c r="CV20" s="4"/>
      <c r="CW20" s="4"/>
      <c r="CX20" s="55"/>
      <c r="CY20" s="54"/>
      <c r="CZ20" s="4"/>
      <c r="DA20" s="4"/>
      <c r="DB20" s="4"/>
      <c r="DC20" s="55"/>
      <c r="DD20" s="54"/>
      <c r="DE20" s="4"/>
      <c r="DF20" s="4"/>
      <c r="DG20" s="4"/>
      <c r="DH20" s="55"/>
      <c r="DI20" s="54"/>
      <c r="DJ20" s="4"/>
      <c r="DK20" s="4"/>
      <c r="DL20" s="4"/>
      <c r="DM20" s="55"/>
      <c r="DN20" s="54"/>
      <c r="DO20" s="4"/>
      <c r="DP20" s="4"/>
    </row>
    <row r="21">
      <c r="A21" s="56"/>
      <c r="B21" s="56"/>
      <c r="C21" s="56"/>
      <c r="D21" s="66" t="s">
        <v>40</v>
      </c>
      <c r="E21" s="56"/>
      <c r="F21" s="48"/>
      <c r="G21" s="49" t="s">
        <v>41</v>
      </c>
      <c r="H21" s="58">
        <v>45923.0</v>
      </c>
      <c r="I21" s="58">
        <v>45923.0</v>
      </c>
      <c r="J21" s="47" t="str">
        <f t="shared" si="23"/>
        <v/>
      </c>
      <c r="K21" s="64" t="s">
        <v>14</v>
      </c>
      <c r="L21" s="65"/>
      <c r="M21" s="52"/>
      <c r="N21" s="52"/>
      <c r="O21" s="52"/>
      <c r="P21" s="52"/>
      <c r="Q21" s="52"/>
      <c r="R21" s="52"/>
      <c r="S21" s="43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3"/>
      <c r="CE21" s="54"/>
      <c r="CF21" s="4"/>
      <c r="CG21" s="4"/>
      <c r="CH21" s="4"/>
      <c r="CI21" s="55"/>
      <c r="CJ21" s="54"/>
      <c r="CK21" s="4"/>
      <c r="CL21" s="4"/>
      <c r="CM21" s="4"/>
      <c r="CN21" s="55"/>
      <c r="CO21" s="54"/>
      <c r="CP21" s="4"/>
      <c r="CQ21" s="4"/>
      <c r="CR21" s="4"/>
      <c r="CS21" s="55"/>
      <c r="CT21" s="54"/>
      <c r="CU21" s="4"/>
      <c r="CV21" s="4"/>
      <c r="CW21" s="4"/>
      <c r="CX21" s="55"/>
      <c r="CY21" s="54"/>
      <c r="CZ21" s="4"/>
      <c r="DA21" s="4"/>
      <c r="DB21" s="4"/>
      <c r="DC21" s="55"/>
      <c r="DD21" s="54"/>
      <c r="DE21" s="4"/>
      <c r="DF21" s="4"/>
      <c r="DG21" s="4"/>
      <c r="DH21" s="55"/>
      <c r="DI21" s="54"/>
      <c r="DJ21" s="4"/>
      <c r="DK21" s="4"/>
      <c r="DL21" s="4"/>
      <c r="DM21" s="55"/>
      <c r="DN21" s="54"/>
      <c r="DO21" s="4"/>
      <c r="DP21" s="4"/>
    </row>
    <row r="22">
      <c r="A22" s="56"/>
      <c r="B22" s="56"/>
      <c r="C22" s="56"/>
      <c r="D22" s="66" t="s">
        <v>42</v>
      </c>
      <c r="E22" s="56"/>
      <c r="F22" s="48"/>
      <c r="G22" s="49" t="s">
        <v>41</v>
      </c>
      <c r="H22" s="58">
        <v>45923.0</v>
      </c>
      <c r="I22" s="58">
        <v>45923.0</v>
      </c>
      <c r="J22" s="47" t="str">
        <f t="shared" si="23"/>
        <v/>
      </c>
      <c r="K22" s="64" t="s">
        <v>14</v>
      </c>
      <c r="L22" s="65"/>
      <c r="M22" s="52"/>
      <c r="N22" s="52"/>
      <c r="O22" s="52"/>
      <c r="P22" s="52"/>
      <c r="Q22" s="52"/>
      <c r="R22" s="52"/>
      <c r="S22" s="43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3"/>
      <c r="CE22" s="54"/>
      <c r="CF22" s="4"/>
      <c r="CG22" s="4"/>
      <c r="CH22" s="4"/>
      <c r="CI22" s="55"/>
      <c r="CJ22" s="54"/>
      <c r="CK22" s="4"/>
      <c r="CL22" s="4"/>
      <c r="CM22" s="4"/>
      <c r="CN22" s="55"/>
      <c r="CO22" s="54"/>
      <c r="CP22" s="4"/>
      <c r="CQ22" s="4"/>
      <c r="CR22" s="4"/>
      <c r="CS22" s="55"/>
      <c r="CT22" s="54"/>
      <c r="CU22" s="4"/>
      <c r="CV22" s="4"/>
      <c r="CW22" s="4"/>
      <c r="CX22" s="55"/>
      <c r="CY22" s="54"/>
      <c r="CZ22" s="4"/>
      <c r="DA22" s="4"/>
      <c r="DB22" s="4"/>
      <c r="DC22" s="55"/>
      <c r="DD22" s="54"/>
      <c r="DE22" s="4"/>
      <c r="DF22" s="4"/>
      <c r="DG22" s="4"/>
      <c r="DH22" s="55"/>
      <c r="DI22" s="54"/>
      <c r="DJ22" s="4"/>
      <c r="DK22" s="4"/>
      <c r="DL22" s="4"/>
      <c r="DM22" s="55"/>
      <c r="DN22" s="54"/>
      <c r="DO22" s="4"/>
      <c r="DP22" s="4"/>
    </row>
    <row r="23">
      <c r="A23" s="56"/>
      <c r="B23" s="26"/>
      <c r="C23" s="26"/>
      <c r="D23" s="66" t="s">
        <v>43</v>
      </c>
      <c r="E23" s="26"/>
      <c r="F23" s="48"/>
      <c r="G23" s="49" t="s">
        <v>18</v>
      </c>
      <c r="H23" s="58">
        <v>45923.0</v>
      </c>
      <c r="I23" s="58">
        <v>45923.0</v>
      </c>
      <c r="J23" s="47" t="str">
        <f t="shared" si="23"/>
        <v/>
      </c>
      <c r="K23" s="64" t="s">
        <v>14</v>
      </c>
      <c r="L23" s="65"/>
      <c r="M23" s="52"/>
      <c r="N23" s="52"/>
      <c r="O23" s="52"/>
      <c r="P23" s="52"/>
      <c r="Q23" s="52"/>
      <c r="R23" s="52"/>
      <c r="S23" s="43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3"/>
      <c r="CE23" s="54"/>
      <c r="CF23" s="4"/>
      <c r="CG23" s="4"/>
      <c r="CH23" s="4"/>
      <c r="CI23" s="55"/>
      <c r="CJ23" s="54"/>
      <c r="CK23" s="4"/>
      <c r="CL23" s="4"/>
      <c r="CM23" s="4"/>
      <c r="CN23" s="55"/>
      <c r="CO23" s="54"/>
      <c r="CP23" s="4"/>
      <c r="CQ23" s="4"/>
      <c r="CR23" s="4"/>
      <c r="CS23" s="55"/>
      <c r="CT23" s="54"/>
      <c r="CU23" s="4"/>
      <c r="CV23" s="4"/>
      <c r="CW23" s="4"/>
      <c r="CX23" s="55"/>
      <c r="CY23" s="54"/>
      <c r="CZ23" s="4"/>
      <c r="DA23" s="4"/>
      <c r="DB23" s="4"/>
      <c r="DC23" s="55"/>
      <c r="DD23" s="54"/>
      <c r="DE23" s="4"/>
      <c r="DF23" s="4"/>
      <c r="DG23" s="4"/>
      <c r="DH23" s="55"/>
      <c r="DI23" s="54"/>
      <c r="DJ23" s="4"/>
      <c r="DK23" s="4"/>
      <c r="DL23" s="4"/>
      <c r="DM23" s="55"/>
      <c r="DN23" s="54"/>
      <c r="DO23" s="4"/>
      <c r="DP23" s="4"/>
    </row>
    <row r="24">
      <c r="A24" s="56"/>
      <c r="B24" s="67" t="s">
        <v>44</v>
      </c>
      <c r="C24" s="60" t="s">
        <v>45</v>
      </c>
      <c r="D24" s="61" t="s">
        <v>46</v>
      </c>
      <c r="E24" s="62" t="s">
        <v>45</v>
      </c>
      <c r="F24" s="48"/>
      <c r="G24" s="63" t="s">
        <v>47</v>
      </c>
      <c r="H24" s="68">
        <v>45924.0</v>
      </c>
      <c r="I24" s="58">
        <v>45925.0</v>
      </c>
      <c r="J24" s="49" t="str">
        <f t="shared" si="23"/>
        <v>#REF!</v>
      </c>
      <c r="K24" s="64" t="s">
        <v>14</v>
      </c>
      <c r="L24" s="65"/>
      <c r="M24" s="52"/>
      <c r="N24" s="52"/>
      <c r="O24" s="52"/>
      <c r="P24" s="52"/>
      <c r="Q24" s="52"/>
      <c r="R24" s="52"/>
      <c r="S24" s="52"/>
      <c r="T24" s="43"/>
      <c r="U24" s="43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3"/>
      <c r="CE24" s="54"/>
      <c r="CF24" s="4"/>
      <c r="CG24" s="4"/>
      <c r="CH24" s="4"/>
      <c r="CI24" s="55"/>
      <c r="CJ24" s="54"/>
      <c r="CK24" s="4"/>
      <c r="CL24" s="4"/>
      <c r="CM24" s="4"/>
      <c r="CN24" s="55"/>
      <c r="CO24" s="54"/>
      <c r="CP24" s="4"/>
      <c r="CQ24" s="4"/>
      <c r="CR24" s="4"/>
      <c r="CS24" s="55"/>
      <c r="CT24" s="54"/>
      <c r="CU24" s="4"/>
      <c r="CV24" s="4"/>
      <c r="CW24" s="4"/>
      <c r="CX24" s="55"/>
      <c r="CY24" s="54"/>
      <c r="CZ24" s="4"/>
      <c r="DA24" s="4"/>
      <c r="DB24" s="4"/>
      <c r="DC24" s="55"/>
      <c r="DD24" s="54"/>
      <c r="DE24" s="4"/>
      <c r="DF24" s="4"/>
      <c r="DG24" s="4"/>
      <c r="DH24" s="55"/>
      <c r="DI24" s="54"/>
      <c r="DJ24" s="4"/>
      <c r="DK24" s="4"/>
      <c r="DL24" s="4"/>
      <c r="DM24" s="55"/>
      <c r="DN24" s="54"/>
      <c r="DO24" s="4"/>
      <c r="DP24" s="4"/>
    </row>
    <row r="25">
      <c r="A25" s="56"/>
      <c r="B25" s="56"/>
      <c r="C25" s="56"/>
      <c r="D25" s="61" t="s">
        <v>48</v>
      </c>
      <c r="E25" s="56"/>
      <c r="F25" s="48"/>
      <c r="G25" s="56"/>
      <c r="H25" s="68">
        <v>45924.0</v>
      </c>
      <c r="I25" s="58">
        <v>45925.0</v>
      </c>
      <c r="J25" s="47" t="str">
        <f t="shared" si="23"/>
        <v/>
      </c>
      <c r="K25" s="64" t="s">
        <v>14</v>
      </c>
      <c r="L25" s="65"/>
      <c r="M25" s="52"/>
      <c r="N25" s="52"/>
      <c r="O25" s="52"/>
      <c r="P25" s="52"/>
      <c r="Q25" s="52"/>
      <c r="R25" s="52"/>
      <c r="S25" s="52"/>
      <c r="T25" s="43"/>
      <c r="U25" s="43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3"/>
      <c r="CE25" s="54"/>
      <c r="CF25" s="4"/>
      <c r="CG25" s="4"/>
      <c r="CH25" s="4"/>
      <c r="CI25" s="55"/>
      <c r="CJ25" s="54"/>
      <c r="CK25" s="4"/>
      <c r="CL25" s="4"/>
      <c r="CM25" s="4"/>
      <c r="CN25" s="55"/>
      <c r="CO25" s="54"/>
      <c r="CP25" s="4"/>
      <c r="CQ25" s="4"/>
      <c r="CR25" s="4"/>
      <c r="CS25" s="55"/>
      <c r="CT25" s="54"/>
      <c r="CU25" s="4"/>
      <c r="CV25" s="4"/>
      <c r="CW25" s="4"/>
      <c r="CX25" s="55"/>
      <c r="CY25" s="54"/>
      <c r="CZ25" s="4"/>
      <c r="DA25" s="4"/>
      <c r="DB25" s="4"/>
      <c r="DC25" s="55"/>
      <c r="DD25" s="54"/>
      <c r="DE25" s="4"/>
      <c r="DF25" s="4"/>
      <c r="DG25" s="4"/>
      <c r="DH25" s="55"/>
      <c r="DI25" s="54"/>
      <c r="DJ25" s="4"/>
      <c r="DK25" s="4"/>
      <c r="DL25" s="4"/>
      <c r="DM25" s="55"/>
      <c r="DN25" s="54"/>
      <c r="DO25" s="4"/>
      <c r="DP25" s="4"/>
    </row>
    <row r="26">
      <c r="A26" s="56"/>
      <c r="B26" s="56"/>
      <c r="C26" s="26"/>
      <c r="D26" s="61" t="s">
        <v>49</v>
      </c>
      <c r="E26" s="26"/>
      <c r="F26" s="48"/>
      <c r="G26" s="26"/>
      <c r="H26" s="68">
        <v>45924.0</v>
      </c>
      <c r="I26" s="58">
        <v>45925.0</v>
      </c>
      <c r="J26" s="47" t="str">
        <f t="shared" si="23"/>
        <v/>
      </c>
      <c r="K26" s="64" t="s">
        <v>14</v>
      </c>
      <c r="L26" s="65"/>
      <c r="M26" s="52"/>
      <c r="N26" s="52"/>
      <c r="O26" s="52"/>
      <c r="P26" s="52"/>
      <c r="Q26" s="52"/>
      <c r="R26" s="52"/>
      <c r="S26" s="52"/>
      <c r="T26" s="43"/>
      <c r="U26" s="43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3"/>
      <c r="CE26" s="54"/>
      <c r="CF26" s="4"/>
      <c r="CG26" s="4"/>
      <c r="CH26" s="4"/>
      <c r="CI26" s="55"/>
      <c r="CJ26" s="54"/>
      <c r="CK26" s="4"/>
      <c r="CL26" s="4"/>
      <c r="CM26" s="4"/>
      <c r="CN26" s="55"/>
      <c r="CO26" s="54"/>
      <c r="CP26" s="4"/>
      <c r="CQ26" s="4"/>
      <c r="CR26" s="4"/>
      <c r="CS26" s="55"/>
      <c r="CT26" s="54"/>
      <c r="CU26" s="4"/>
      <c r="CV26" s="4"/>
      <c r="CW26" s="4"/>
      <c r="CX26" s="55"/>
      <c r="CY26" s="54"/>
      <c r="CZ26" s="4"/>
      <c r="DA26" s="4"/>
      <c r="DB26" s="4"/>
      <c r="DC26" s="55"/>
      <c r="DD26" s="54"/>
      <c r="DE26" s="4"/>
      <c r="DF26" s="4"/>
      <c r="DG26" s="4"/>
      <c r="DH26" s="55"/>
      <c r="DI26" s="54"/>
      <c r="DJ26" s="4"/>
      <c r="DK26" s="4"/>
      <c r="DL26" s="4"/>
      <c r="DM26" s="55"/>
      <c r="DN26" s="54"/>
      <c r="DO26" s="4"/>
      <c r="DP26" s="4"/>
    </row>
    <row r="27">
      <c r="A27" s="56"/>
      <c r="B27" s="56"/>
      <c r="C27" s="46" t="s">
        <v>50</v>
      </c>
      <c r="D27" s="47"/>
      <c r="E27" s="57" t="s">
        <v>20</v>
      </c>
      <c r="F27" s="48"/>
      <c r="G27" s="69" t="s">
        <v>18</v>
      </c>
      <c r="H27" s="68">
        <v>45925.0</v>
      </c>
      <c r="I27" s="58">
        <v>45925.0</v>
      </c>
      <c r="J27" s="49" t="str">
        <f t="shared" si="23"/>
        <v>#REF!</v>
      </c>
      <c r="K27" s="64" t="s">
        <v>14</v>
      </c>
      <c r="L27" s="65"/>
      <c r="M27" s="52"/>
      <c r="N27" s="52"/>
      <c r="O27" s="52"/>
      <c r="P27" s="52"/>
      <c r="Q27" s="52"/>
      <c r="R27" s="52"/>
      <c r="S27" s="52"/>
      <c r="T27" s="52"/>
      <c r="U27" s="43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3"/>
      <c r="CE27" s="54"/>
      <c r="CF27" s="4"/>
      <c r="CG27" s="4"/>
      <c r="CH27" s="4"/>
      <c r="CI27" s="55"/>
      <c r="CJ27" s="54"/>
      <c r="CK27" s="4"/>
      <c r="CL27" s="4"/>
      <c r="CM27" s="4"/>
      <c r="CN27" s="55"/>
      <c r="CO27" s="54"/>
      <c r="CP27" s="4"/>
      <c r="CQ27" s="4"/>
      <c r="CR27" s="4"/>
      <c r="CS27" s="55"/>
      <c r="CT27" s="54"/>
      <c r="CU27" s="4"/>
      <c r="CV27" s="4"/>
      <c r="CW27" s="4"/>
      <c r="CX27" s="55"/>
      <c r="CY27" s="54"/>
      <c r="CZ27" s="4"/>
      <c r="DA27" s="4"/>
      <c r="DB27" s="4"/>
      <c r="DC27" s="55"/>
      <c r="DD27" s="54"/>
      <c r="DE27" s="4"/>
      <c r="DF27" s="4"/>
      <c r="DG27" s="4"/>
      <c r="DH27" s="55"/>
      <c r="DI27" s="54"/>
      <c r="DJ27" s="4"/>
      <c r="DK27" s="4"/>
      <c r="DL27" s="4"/>
      <c r="DM27" s="55"/>
      <c r="DN27" s="54"/>
      <c r="DO27" s="4"/>
      <c r="DP27" s="4"/>
    </row>
    <row r="28">
      <c r="A28" s="56"/>
      <c r="B28" s="56"/>
      <c r="C28" s="46" t="s">
        <v>51</v>
      </c>
      <c r="D28" s="47"/>
      <c r="E28" s="57" t="s">
        <v>20</v>
      </c>
      <c r="F28" s="48"/>
      <c r="G28" s="69" t="s">
        <v>47</v>
      </c>
      <c r="H28" s="68">
        <v>45925.0</v>
      </c>
      <c r="I28" s="58">
        <v>45925.0</v>
      </c>
      <c r="J28" s="49" t="str">
        <f t="shared" si="23"/>
        <v>#REF!</v>
      </c>
      <c r="K28" s="64" t="s">
        <v>14</v>
      </c>
      <c r="L28" s="65"/>
      <c r="M28" s="52"/>
      <c r="N28" s="52"/>
      <c r="O28" s="52"/>
      <c r="P28" s="52"/>
      <c r="Q28" s="52"/>
      <c r="R28" s="52"/>
      <c r="S28" s="52"/>
      <c r="T28" s="52"/>
      <c r="U28" s="43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3"/>
      <c r="CE28" s="54"/>
      <c r="CF28" s="4"/>
      <c r="CG28" s="4"/>
      <c r="CH28" s="4"/>
      <c r="CI28" s="55"/>
      <c r="CJ28" s="54"/>
      <c r="CK28" s="4"/>
      <c r="CL28" s="4"/>
      <c r="CM28" s="4"/>
      <c r="CN28" s="55"/>
      <c r="CO28" s="54"/>
      <c r="CP28" s="4"/>
      <c r="CQ28" s="4"/>
      <c r="CR28" s="4"/>
      <c r="CS28" s="55"/>
      <c r="CT28" s="54"/>
      <c r="CU28" s="4"/>
      <c r="CV28" s="4"/>
      <c r="CW28" s="4"/>
      <c r="CX28" s="55"/>
      <c r="CY28" s="54"/>
      <c r="CZ28" s="4"/>
      <c r="DA28" s="4"/>
      <c r="DB28" s="4"/>
      <c r="DC28" s="55"/>
      <c r="DD28" s="54"/>
      <c r="DE28" s="4"/>
      <c r="DF28" s="4"/>
      <c r="DG28" s="4"/>
      <c r="DH28" s="55"/>
      <c r="DI28" s="54"/>
      <c r="DJ28" s="4"/>
      <c r="DK28" s="4"/>
      <c r="DL28" s="4"/>
      <c r="DM28" s="55"/>
      <c r="DN28" s="54"/>
      <c r="DO28" s="4"/>
      <c r="DP28" s="4"/>
    </row>
    <row r="29">
      <c r="A29" s="56"/>
      <c r="B29" s="56"/>
      <c r="C29" s="46" t="s">
        <v>52</v>
      </c>
      <c r="D29" s="47"/>
      <c r="E29" s="70" t="s">
        <v>20</v>
      </c>
      <c r="F29" s="48"/>
      <c r="G29" s="69" t="s">
        <v>18</v>
      </c>
      <c r="H29" s="68">
        <v>45925.0</v>
      </c>
      <c r="I29" s="58">
        <v>45925.0</v>
      </c>
      <c r="J29" s="49" t="str">
        <f t="shared" si="23"/>
        <v>#REF!</v>
      </c>
      <c r="K29" s="64" t="s">
        <v>14</v>
      </c>
      <c r="L29" s="65"/>
      <c r="M29" s="52"/>
      <c r="N29" s="52"/>
      <c r="O29" s="52"/>
      <c r="P29" s="52"/>
      <c r="Q29" s="52"/>
      <c r="R29" s="52"/>
      <c r="S29" s="52"/>
      <c r="T29" s="52"/>
      <c r="U29" s="43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3"/>
      <c r="CE29" s="54"/>
      <c r="CF29" s="4"/>
      <c r="CG29" s="4"/>
      <c r="CH29" s="4"/>
      <c r="CI29" s="55"/>
      <c r="CJ29" s="54"/>
      <c r="CK29" s="4"/>
      <c r="CL29" s="4"/>
      <c r="CM29" s="4"/>
      <c r="CN29" s="55"/>
      <c r="CO29" s="54"/>
      <c r="CP29" s="4"/>
      <c r="CQ29" s="4"/>
      <c r="CR29" s="4"/>
      <c r="CS29" s="55"/>
      <c r="CT29" s="54"/>
      <c r="CU29" s="4"/>
      <c r="CV29" s="4"/>
      <c r="CW29" s="4"/>
      <c r="CX29" s="55"/>
      <c r="CY29" s="54"/>
      <c r="CZ29" s="4"/>
      <c r="DA29" s="4"/>
      <c r="DB29" s="4"/>
      <c r="DC29" s="55"/>
      <c r="DD29" s="54"/>
      <c r="DE29" s="4"/>
      <c r="DF29" s="4"/>
      <c r="DG29" s="4"/>
      <c r="DH29" s="55"/>
      <c r="DI29" s="54"/>
      <c r="DJ29" s="4"/>
      <c r="DK29" s="4"/>
      <c r="DL29" s="4"/>
      <c r="DM29" s="55"/>
      <c r="DN29" s="54"/>
      <c r="DO29" s="4"/>
      <c r="DP29" s="4"/>
    </row>
    <row r="30">
      <c r="A30" s="56"/>
      <c r="B30" s="56"/>
      <c r="C30" s="46" t="s">
        <v>53</v>
      </c>
      <c r="D30" s="47"/>
      <c r="E30" s="26"/>
      <c r="F30" s="47"/>
      <c r="G30" s="49" t="s">
        <v>47</v>
      </c>
      <c r="H30" s="68">
        <v>45925.0</v>
      </c>
      <c r="I30" s="58">
        <v>45925.0</v>
      </c>
      <c r="J30" s="49" t="str">
        <f t="shared" si="23"/>
        <v>#REF!</v>
      </c>
      <c r="K30" s="64" t="s">
        <v>14</v>
      </c>
      <c r="L30" s="65"/>
      <c r="M30" s="52"/>
      <c r="N30" s="52"/>
      <c r="O30" s="52"/>
      <c r="P30" s="52"/>
      <c r="Q30" s="52"/>
      <c r="R30" s="52"/>
      <c r="S30" s="52"/>
      <c r="T30" s="52"/>
      <c r="U30" s="43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3"/>
      <c r="CE30" s="54"/>
      <c r="CF30" s="4"/>
      <c r="CG30" s="4"/>
      <c r="CH30" s="4"/>
      <c r="CI30" s="55"/>
      <c r="CJ30" s="54"/>
      <c r="CK30" s="4"/>
      <c r="CL30" s="4"/>
      <c r="CM30" s="4"/>
      <c r="CN30" s="55"/>
      <c r="CO30" s="54"/>
      <c r="CP30" s="4"/>
      <c r="CQ30" s="4"/>
      <c r="CR30" s="4"/>
      <c r="CS30" s="55"/>
      <c r="CT30" s="54"/>
      <c r="CU30" s="4"/>
      <c r="CV30" s="4"/>
      <c r="CW30" s="4"/>
      <c r="CX30" s="55"/>
      <c r="CY30" s="54"/>
      <c r="CZ30" s="4"/>
      <c r="DA30" s="4"/>
      <c r="DB30" s="4"/>
      <c r="DC30" s="55"/>
      <c r="DD30" s="54"/>
      <c r="DE30" s="4"/>
      <c r="DF30" s="4"/>
      <c r="DG30" s="4"/>
      <c r="DH30" s="55"/>
      <c r="DI30" s="54"/>
      <c r="DJ30" s="4"/>
      <c r="DK30" s="4"/>
      <c r="DL30" s="4"/>
      <c r="DM30" s="55"/>
      <c r="DN30" s="54"/>
      <c r="DO30" s="4"/>
      <c r="DP30" s="4"/>
    </row>
    <row r="31">
      <c r="A31" s="56"/>
      <c r="B31" s="56"/>
      <c r="C31" s="46" t="s">
        <v>54</v>
      </c>
      <c r="D31" s="47"/>
      <c r="E31" s="57" t="s">
        <v>20</v>
      </c>
      <c r="F31" s="47"/>
      <c r="G31" s="49" t="s">
        <v>39</v>
      </c>
      <c r="H31" s="68">
        <v>45923.0</v>
      </c>
      <c r="I31" s="58">
        <v>45925.0</v>
      </c>
      <c r="J31" s="49" t="str">
        <f t="shared" si="23"/>
        <v>#REF!</v>
      </c>
      <c r="K31" s="64" t="s">
        <v>14</v>
      </c>
      <c r="L31" s="65"/>
      <c r="M31" s="52"/>
      <c r="N31" s="52"/>
      <c r="O31" s="52"/>
      <c r="P31" s="52"/>
      <c r="Q31" s="52"/>
      <c r="R31" s="52"/>
      <c r="S31" s="43"/>
      <c r="T31" s="43"/>
      <c r="U31" s="43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3"/>
      <c r="CE31" s="54"/>
      <c r="CF31" s="4"/>
      <c r="CG31" s="4"/>
      <c r="CH31" s="4"/>
      <c r="CI31" s="55"/>
      <c r="CJ31" s="54"/>
      <c r="CK31" s="4"/>
      <c r="CL31" s="4"/>
      <c r="CM31" s="4"/>
      <c r="CN31" s="55"/>
      <c r="CO31" s="54"/>
      <c r="CP31" s="4"/>
      <c r="CQ31" s="4"/>
      <c r="CR31" s="4"/>
      <c r="CS31" s="55"/>
      <c r="CT31" s="54"/>
      <c r="CU31" s="4"/>
      <c r="CV31" s="4"/>
      <c r="CW31" s="4"/>
      <c r="CX31" s="55"/>
      <c r="CY31" s="54"/>
      <c r="CZ31" s="4"/>
      <c r="DA31" s="4"/>
      <c r="DB31" s="4"/>
      <c r="DC31" s="55"/>
      <c r="DD31" s="54"/>
      <c r="DE31" s="4"/>
      <c r="DF31" s="4"/>
      <c r="DG31" s="4"/>
      <c r="DH31" s="55"/>
      <c r="DI31" s="54"/>
      <c r="DJ31" s="4"/>
      <c r="DK31" s="4"/>
      <c r="DL31" s="4"/>
      <c r="DM31" s="55"/>
      <c r="DN31" s="54"/>
      <c r="DO31" s="4"/>
      <c r="DP31" s="4"/>
    </row>
    <row r="32">
      <c r="A32" s="56"/>
      <c r="B32" s="26"/>
      <c r="C32" s="46" t="s">
        <v>55</v>
      </c>
      <c r="D32" s="61" t="s">
        <v>56</v>
      </c>
      <c r="E32" s="47"/>
      <c r="F32" s="47"/>
      <c r="G32" s="49" t="s">
        <v>18</v>
      </c>
      <c r="H32" s="58">
        <v>45925.0</v>
      </c>
      <c r="I32" s="58">
        <v>45925.0</v>
      </c>
      <c r="J32" s="49" t="str">
        <f t="shared" si="23"/>
        <v>#REF!</v>
      </c>
      <c r="K32" s="64" t="s">
        <v>14</v>
      </c>
      <c r="L32" s="65"/>
      <c r="M32" s="52"/>
      <c r="N32" s="52"/>
      <c r="O32" s="52"/>
      <c r="P32" s="52"/>
      <c r="Q32" s="52"/>
      <c r="R32" s="52"/>
      <c r="S32" s="52"/>
      <c r="T32" s="52"/>
      <c r="U32" s="43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3"/>
      <c r="CE32" s="54"/>
      <c r="CF32" s="4"/>
      <c r="CG32" s="4"/>
      <c r="CH32" s="4"/>
      <c r="CI32" s="55"/>
      <c r="CJ32" s="54"/>
      <c r="CK32" s="4"/>
      <c r="CL32" s="4"/>
      <c r="CM32" s="4"/>
      <c r="CN32" s="55"/>
      <c r="CO32" s="54"/>
      <c r="CP32" s="4"/>
      <c r="CQ32" s="4"/>
      <c r="CR32" s="4"/>
      <c r="CS32" s="55"/>
      <c r="CT32" s="54"/>
      <c r="CU32" s="4"/>
      <c r="CV32" s="4"/>
      <c r="CW32" s="4"/>
      <c r="CX32" s="55"/>
      <c r="CY32" s="54"/>
      <c r="CZ32" s="4"/>
      <c r="DA32" s="4"/>
      <c r="DB32" s="4"/>
      <c r="DC32" s="55"/>
      <c r="DD32" s="54"/>
      <c r="DE32" s="4"/>
      <c r="DF32" s="4"/>
      <c r="DG32" s="4"/>
      <c r="DH32" s="55"/>
      <c r="DI32" s="54"/>
      <c r="DJ32" s="4"/>
      <c r="DK32" s="4"/>
      <c r="DL32" s="4"/>
      <c r="DM32" s="55"/>
      <c r="DN32" s="54"/>
      <c r="DO32" s="4"/>
      <c r="DP32" s="4"/>
    </row>
    <row r="33">
      <c r="A33" s="56"/>
      <c r="B33" s="71" t="s">
        <v>57</v>
      </c>
      <c r="C33" s="46" t="s">
        <v>58</v>
      </c>
      <c r="D33" s="47"/>
      <c r="E33" s="70" t="s">
        <v>59</v>
      </c>
      <c r="F33" s="47"/>
      <c r="G33" s="49" t="s">
        <v>47</v>
      </c>
      <c r="H33" s="68">
        <v>45924.0</v>
      </c>
      <c r="I33" s="68">
        <v>45926.0</v>
      </c>
      <c r="J33" s="49" t="str">
        <f t="shared" si="23"/>
        <v>#REF!</v>
      </c>
      <c r="K33" s="64" t="s">
        <v>14</v>
      </c>
      <c r="L33" s="65"/>
      <c r="M33" s="52"/>
      <c r="N33" s="52"/>
      <c r="O33" s="52"/>
      <c r="P33" s="52"/>
      <c r="Q33" s="52"/>
      <c r="R33" s="52"/>
      <c r="S33" s="52"/>
      <c r="T33" s="43"/>
      <c r="U33" s="43"/>
      <c r="V33" s="43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3"/>
      <c r="CE33" s="54"/>
      <c r="CF33" s="4"/>
      <c r="CG33" s="4"/>
      <c r="CH33" s="4"/>
      <c r="CI33" s="55"/>
      <c r="CJ33" s="54"/>
      <c r="CK33" s="4"/>
      <c r="CL33" s="4"/>
      <c r="CM33" s="4"/>
      <c r="CN33" s="55"/>
      <c r="CO33" s="54"/>
      <c r="CP33" s="4"/>
      <c r="CQ33" s="4"/>
      <c r="CR33" s="4"/>
      <c r="CS33" s="55"/>
      <c r="CT33" s="54"/>
      <c r="CU33" s="4"/>
      <c r="CV33" s="4"/>
      <c r="CW33" s="4"/>
      <c r="CX33" s="55"/>
      <c r="CY33" s="54"/>
      <c r="CZ33" s="4"/>
      <c r="DA33" s="4"/>
      <c r="DB33" s="4"/>
      <c r="DC33" s="55"/>
      <c r="DD33" s="54"/>
      <c r="DE33" s="4"/>
      <c r="DF33" s="4"/>
      <c r="DG33" s="4"/>
      <c r="DH33" s="55"/>
      <c r="DI33" s="54"/>
      <c r="DJ33" s="4"/>
      <c r="DK33" s="4"/>
      <c r="DL33" s="4"/>
      <c r="DM33" s="55"/>
      <c r="DN33" s="54"/>
      <c r="DO33" s="4"/>
      <c r="DP33" s="4"/>
    </row>
    <row r="34">
      <c r="A34" s="56"/>
      <c r="B34" s="26"/>
      <c r="C34" s="46" t="s">
        <v>60</v>
      </c>
      <c r="D34" s="47"/>
      <c r="E34" s="26"/>
      <c r="F34" s="47"/>
      <c r="G34" s="49" t="s">
        <v>37</v>
      </c>
      <c r="H34" s="68">
        <v>45926.0</v>
      </c>
      <c r="I34" s="68">
        <v>45926.0</v>
      </c>
      <c r="J34" s="49" t="str">
        <f t="shared" si="23"/>
        <v>#REF!</v>
      </c>
      <c r="K34" s="64" t="s">
        <v>14</v>
      </c>
      <c r="L34" s="65"/>
      <c r="M34" s="52"/>
      <c r="N34" s="52"/>
      <c r="O34" s="52"/>
      <c r="P34" s="52"/>
      <c r="Q34" s="52"/>
      <c r="R34" s="52"/>
      <c r="S34" s="52"/>
      <c r="T34" s="52"/>
      <c r="U34" s="52"/>
      <c r="V34" s="43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3"/>
      <c r="CE34" s="54"/>
      <c r="CF34" s="4"/>
      <c r="CG34" s="4"/>
      <c r="CH34" s="4"/>
      <c r="CI34" s="55"/>
      <c r="CJ34" s="54"/>
      <c r="CK34" s="4"/>
      <c r="CL34" s="4"/>
      <c r="CM34" s="4"/>
      <c r="CN34" s="55"/>
      <c r="CO34" s="54"/>
      <c r="CP34" s="4"/>
      <c r="CQ34" s="4"/>
      <c r="CR34" s="4"/>
      <c r="CS34" s="55"/>
      <c r="CT34" s="54"/>
      <c r="CU34" s="4"/>
      <c r="CV34" s="4"/>
      <c r="CW34" s="4"/>
      <c r="CX34" s="55"/>
      <c r="CY34" s="54"/>
      <c r="CZ34" s="4"/>
      <c r="DA34" s="4"/>
      <c r="DB34" s="4"/>
      <c r="DC34" s="55"/>
      <c r="DD34" s="54"/>
      <c r="DE34" s="4"/>
      <c r="DF34" s="4"/>
      <c r="DG34" s="4"/>
      <c r="DH34" s="55"/>
      <c r="DI34" s="54"/>
      <c r="DJ34" s="4"/>
      <c r="DK34" s="4"/>
      <c r="DL34" s="4"/>
      <c r="DM34" s="55"/>
      <c r="DN34" s="54"/>
      <c r="DO34" s="4"/>
      <c r="DP34" s="4"/>
    </row>
    <row r="35">
      <c r="A35" s="56"/>
      <c r="B35" s="72" t="s">
        <v>61</v>
      </c>
      <c r="C35" s="60" t="s">
        <v>62</v>
      </c>
      <c r="D35" s="61" t="s">
        <v>63</v>
      </c>
      <c r="E35" s="47"/>
      <c r="F35" s="47"/>
      <c r="G35" s="49" t="s">
        <v>64</v>
      </c>
      <c r="H35" s="68">
        <v>45924.0</v>
      </c>
      <c r="I35" s="68">
        <v>45926.0</v>
      </c>
      <c r="J35" s="49" t="str">
        <f t="shared" si="23"/>
        <v>#REF!</v>
      </c>
      <c r="K35" s="64" t="s">
        <v>14</v>
      </c>
      <c r="L35" s="65"/>
      <c r="M35" s="73"/>
      <c r="N35" s="52"/>
      <c r="O35" s="52"/>
      <c r="P35" s="52"/>
      <c r="Q35" s="52"/>
      <c r="R35" s="52"/>
      <c r="S35" s="52"/>
      <c r="T35" s="43"/>
      <c r="U35" s="43"/>
      <c r="V35" s="43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3"/>
      <c r="CE35" s="54"/>
      <c r="CF35" s="4"/>
      <c r="CG35" s="4"/>
      <c r="CH35" s="4"/>
      <c r="CI35" s="55"/>
      <c r="CJ35" s="54"/>
      <c r="CK35" s="4"/>
      <c r="CL35" s="4"/>
      <c r="CM35" s="4"/>
      <c r="CN35" s="55"/>
      <c r="CO35" s="54"/>
      <c r="CP35" s="4"/>
      <c r="CQ35" s="4"/>
      <c r="CR35" s="4"/>
      <c r="CS35" s="55"/>
      <c r="CT35" s="54"/>
      <c r="CU35" s="4"/>
      <c r="CV35" s="4"/>
      <c r="CW35" s="4"/>
      <c r="CX35" s="55"/>
      <c r="CY35" s="54"/>
      <c r="CZ35" s="4"/>
      <c r="DA35" s="4"/>
      <c r="DB35" s="4"/>
      <c r="DC35" s="55"/>
      <c r="DD35" s="54"/>
      <c r="DE35" s="4"/>
      <c r="DF35" s="4"/>
      <c r="DG35" s="4"/>
      <c r="DH35" s="55"/>
      <c r="DI35" s="54"/>
      <c r="DJ35" s="4"/>
      <c r="DK35" s="4"/>
      <c r="DL35" s="4"/>
      <c r="DM35" s="55"/>
      <c r="DN35" s="54"/>
      <c r="DO35" s="4"/>
      <c r="DP35" s="4"/>
    </row>
    <row r="36">
      <c r="A36" s="56"/>
      <c r="B36" s="56"/>
      <c r="C36" s="26"/>
      <c r="D36" s="61" t="s">
        <v>65</v>
      </c>
      <c r="E36" s="47"/>
      <c r="F36" s="47"/>
      <c r="G36" s="49" t="s">
        <v>64</v>
      </c>
      <c r="H36" s="68">
        <v>45924.0</v>
      </c>
      <c r="I36" s="68">
        <v>45926.0</v>
      </c>
      <c r="J36" s="47" t="str">
        <f t="shared" si="23"/>
        <v/>
      </c>
      <c r="K36" s="64" t="s">
        <v>14</v>
      </c>
      <c r="L36" s="65"/>
      <c r="M36" s="73"/>
      <c r="N36" s="52"/>
      <c r="O36" s="52"/>
      <c r="P36" s="52"/>
      <c r="Q36" s="52"/>
      <c r="R36" s="52"/>
      <c r="S36" s="52"/>
      <c r="T36" s="43"/>
      <c r="U36" s="43"/>
      <c r="V36" s="43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3"/>
      <c r="CE36" s="54"/>
      <c r="CF36" s="4"/>
      <c r="CG36" s="4"/>
      <c r="CH36" s="4"/>
      <c r="CI36" s="55"/>
      <c r="CJ36" s="54"/>
      <c r="CK36" s="4"/>
      <c r="CL36" s="4"/>
      <c r="CM36" s="4"/>
      <c r="CN36" s="55"/>
      <c r="CO36" s="54"/>
      <c r="CP36" s="4"/>
      <c r="CQ36" s="4"/>
      <c r="CR36" s="4"/>
      <c r="CS36" s="55"/>
      <c r="CT36" s="54"/>
      <c r="CU36" s="4"/>
      <c r="CV36" s="4"/>
      <c r="CW36" s="4"/>
      <c r="CX36" s="55"/>
      <c r="CY36" s="54"/>
      <c r="CZ36" s="4"/>
      <c r="DA36" s="4"/>
      <c r="DB36" s="4"/>
      <c r="DC36" s="55"/>
      <c r="DD36" s="54"/>
      <c r="DE36" s="4"/>
      <c r="DF36" s="4"/>
      <c r="DG36" s="4"/>
      <c r="DH36" s="55"/>
      <c r="DI36" s="54"/>
      <c r="DJ36" s="4"/>
      <c r="DK36" s="4"/>
      <c r="DL36" s="4"/>
      <c r="DM36" s="55"/>
      <c r="DN36" s="54"/>
      <c r="DO36" s="4"/>
      <c r="DP36" s="4"/>
    </row>
    <row r="37">
      <c r="A37" s="56"/>
      <c r="B37" s="26"/>
      <c r="C37" s="46" t="s">
        <v>66</v>
      </c>
      <c r="D37" s="61" t="s">
        <v>67</v>
      </c>
      <c r="E37" s="74" t="s">
        <v>68</v>
      </c>
      <c r="F37" s="47"/>
      <c r="G37" s="49" t="s">
        <v>39</v>
      </c>
      <c r="H37" s="68">
        <v>45926.0</v>
      </c>
      <c r="I37" s="68">
        <v>45927.0</v>
      </c>
      <c r="J37" s="49" t="str">
        <f t="shared" si="23"/>
        <v>#REF!</v>
      </c>
      <c r="K37" s="64" t="s">
        <v>14</v>
      </c>
      <c r="L37" s="65"/>
      <c r="M37" s="73"/>
      <c r="N37" s="52"/>
      <c r="O37" s="52"/>
      <c r="P37" s="52"/>
      <c r="Q37" s="52"/>
      <c r="R37" s="52"/>
      <c r="S37" s="52"/>
      <c r="T37" s="52"/>
      <c r="U37" s="52"/>
      <c r="V37" s="43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3"/>
      <c r="CE37" s="54"/>
      <c r="CF37" s="4"/>
      <c r="CG37" s="4"/>
      <c r="CH37" s="4"/>
      <c r="CI37" s="55"/>
      <c r="CJ37" s="54"/>
      <c r="CK37" s="4"/>
      <c r="CL37" s="4"/>
      <c r="CM37" s="4"/>
      <c r="CN37" s="55"/>
      <c r="CO37" s="54"/>
      <c r="CP37" s="4"/>
      <c r="CQ37" s="4"/>
      <c r="CR37" s="4"/>
      <c r="CS37" s="55"/>
      <c r="CT37" s="54"/>
      <c r="CU37" s="4"/>
      <c r="CV37" s="4"/>
      <c r="CW37" s="4"/>
      <c r="CX37" s="55"/>
      <c r="CY37" s="54"/>
      <c r="CZ37" s="4"/>
      <c r="DA37" s="4"/>
      <c r="DB37" s="4"/>
      <c r="DC37" s="55"/>
      <c r="DD37" s="54"/>
      <c r="DE37" s="4"/>
      <c r="DF37" s="4"/>
      <c r="DG37" s="4"/>
      <c r="DH37" s="55"/>
      <c r="DI37" s="54"/>
      <c r="DJ37" s="4"/>
      <c r="DK37" s="4"/>
      <c r="DL37" s="4"/>
      <c r="DM37" s="55"/>
      <c r="DN37" s="54"/>
      <c r="DO37" s="4"/>
      <c r="DP37" s="4"/>
    </row>
    <row r="38">
      <c r="A38" s="56"/>
      <c r="B38" s="71" t="s">
        <v>69</v>
      </c>
      <c r="C38" s="46" t="s">
        <v>70</v>
      </c>
      <c r="D38" s="47"/>
      <c r="E38" s="47"/>
      <c r="F38" s="47"/>
      <c r="G38" s="49" t="s">
        <v>39</v>
      </c>
      <c r="H38" s="68">
        <v>45929.0</v>
      </c>
      <c r="I38" s="68">
        <v>45929.0</v>
      </c>
      <c r="J38" s="49" t="str">
        <f t="shared" si="23"/>
        <v>#REF!</v>
      </c>
      <c r="K38" s="64" t="s">
        <v>14</v>
      </c>
      <c r="L38" s="65"/>
      <c r="M38" s="73"/>
      <c r="N38" s="52"/>
      <c r="O38" s="52"/>
      <c r="P38" s="52"/>
      <c r="Q38" s="52"/>
      <c r="R38" s="52"/>
      <c r="S38" s="52"/>
      <c r="T38" s="52"/>
      <c r="U38" s="52"/>
      <c r="V38" s="52"/>
      <c r="W38" s="43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3"/>
      <c r="CE38" s="54"/>
      <c r="CF38" s="4"/>
      <c r="CG38" s="4"/>
      <c r="CH38" s="4"/>
      <c r="CI38" s="55"/>
      <c r="CJ38" s="54"/>
      <c r="CK38" s="4"/>
      <c r="CL38" s="4"/>
      <c r="CM38" s="4"/>
      <c r="CN38" s="55"/>
      <c r="CO38" s="54"/>
      <c r="CP38" s="4"/>
      <c r="CQ38" s="4"/>
      <c r="CR38" s="4"/>
      <c r="CS38" s="55"/>
      <c r="CT38" s="54"/>
      <c r="CU38" s="4"/>
      <c r="CV38" s="4"/>
      <c r="CW38" s="4"/>
      <c r="CX38" s="55"/>
      <c r="CY38" s="54"/>
      <c r="CZ38" s="4"/>
      <c r="DA38" s="4"/>
      <c r="DB38" s="4"/>
      <c r="DC38" s="55"/>
      <c r="DD38" s="54"/>
      <c r="DE38" s="4"/>
      <c r="DF38" s="4"/>
      <c r="DG38" s="4"/>
      <c r="DH38" s="55"/>
      <c r="DI38" s="54"/>
      <c r="DJ38" s="4"/>
      <c r="DK38" s="4"/>
      <c r="DL38" s="4"/>
      <c r="DM38" s="55"/>
      <c r="DN38" s="54"/>
      <c r="DO38" s="4"/>
      <c r="DP38" s="4"/>
    </row>
    <row r="39">
      <c r="A39" s="56"/>
      <c r="B39" s="56"/>
      <c r="C39" s="46" t="s">
        <v>71</v>
      </c>
      <c r="D39" s="47"/>
      <c r="E39" s="47"/>
      <c r="F39" s="47"/>
      <c r="G39" s="49" t="s">
        <v>37</v>
      </c>
      <c r="H39" s="68">
        <v>45929.0</v>
      </c>
      <c r="I39" s="68">
        <v>45930.0</v>
      </c>
      <c r="J39" s="49" t="str">
        <f t="shared" si="23"/>
        <v>#REF!</v>
      </c>
      <c r="K39" s="64" t="s">
        <v>14</v>
      </c>
      <c r="L39" s="65"/>
      <c r="M39" s="73"/>
      <c r="N39" s="52"/>
      <c r="O39" s="52"/>
      <c r="P39" s="52"/>
      <c r="Q39" s="52"/>
      <c r="R39" s="52"/>
      <c r="S39" s="52"/>
      <c r="T39" s="52"/>
      <c r="U39" s="52"/>
      <c r="V39" s="52"/>
      <c r="W39" s="43"/>
      <c r="X39" s="43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3"/>
      <c r="CE39" s="54"/>
      <c r="CF39" s="4"/>
      <c r="CG39" s="4"/>
      <c r="CH39" s="4"/>
      <c r="CI39" s="55"/>
      <c r="CJ39" s="54"/>
      <c r="CK39" s="4"/>
      <c r="CL39" s="4"/>
      <c r="CM39" s="4"/>
      <c r="CN39" s="55"/>
      <c r="CO39" s="54"/>
      <c r="CP39" s="4"/>
      <c r="CQ39" s="4"/>
      <c r="CR39" s="4"/>
      <c r="CS39" s="55"/>
      <c r="CT39" s="54"/>
      <c r="CU39" s="4"/>
      <c r="CV39" s="4"/>
      <c r="CW39" s="4"/>
      <c r="CX39" s="55"/>
      <c r="CY39" s="54"/>
      <c r="CZ39" s="4"/>
      <c r="DA39" s="4"/>
      <c r="DB39" s="4"/>
      <c r="DC39" s="55"/>
      <c r="DD39" s="54"/>
      <c r="DE39" s="4"/>
      <c r="DF39" s="4"/>
      <c r="DG39" s="4"/>
      <c r="DH39" s="55"/>
      <c r="DI39" s="54"/>
      <c r="DJ39" s="4"/>
      <c r="DK39" s="4"/>
      <c r="DL39" s="4"/>
      <c r="DM39" s="55"/>
      <c r="DN39" s="54"/>
      <c r="DO39" s="4"/>
      <c r="DP39" s="4"/>
    </row>
    <row r="40">
      <c r="A40" s="56"/>
      <c r="B40" s="26"/>
      <c r="C40" s="46" t="s">
        <v>72</v>
      </c>
      <c r="D40" s="47"/>
      <c r="E40" s="47"/>
      <c r="F40" s="47"/>
      <c r="G40" s="49" t="s">
        <v>37</v>
      </c>
      <c r="H40" s="68">
        <v>45929.0</v>
      </c>
      <c r="I40" s="68">
        <v>45930.0</v>
      </c>
      <c r="J40" s="49" t="str">
        <f t="shared" si="23"/>
        <v>#REF!</v>
      </c>
      <c r="K40" s="64" t="s">
        <v>14</v>
      </c>
      <c r="L40" s="65"/>
      <c r="M40" s="73"/>
      <c r="N40" s="52"/>
      <c r="O40" s="52"/>
      <c r="P40" s="52"/>
      <c r="Q40" s="52"/>
      <c r="R40" s="52"/>
      <c r="S40" s="52"/>
      <c r="T40" s="52"/>
      <c r="U40" s="52"/>
      <c r="V40" s="52"/>
      <c r="W40" s="43"/>
      <c r="X40" s="43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3"/>
      <c r="CE40" s="54"/>
      <c r="CF40" s="4"/>
      <c r="CG40" s="4"/>
      <c r="CH40" s="4"/>
      <c r="CI40" s="55"/>
      <c r="CJ40" s="54"/>
      <c r="CK40" s="4"/>
      <c r="CL40" s="4"/>
      <c r="CM40" s="4"/>
      <c r="CN40" s="55"/>
      <c r="CO40" s="54"/>
      <c r="CP40" s="4"/>
      <c r="CQ40" s="4"/>
      <c r="CR40" s="4"/>
      <c r="CS40" s="55"/>
      <c r="CT40" s="54"/>
      <c r="CU40" s="4"/>
      <c r="CV40" s="4"/>
      <c r="CW40" s="4"/>
      <c r="CX40" s="55"/>
      <c r="CY40" s="54"/>
      <c r="CZ40" s="4"/>
      <c r="DA40" s="4"/>
      <c r="DB40" s="4"/>
      <c r="DC40" s="55"/>
      <c r="DD40" s="54"/>
      <c r="DE40" s="4"/>
      <c r="DF40" s="4"/>
      <c r="DG40" s="4"/>
      <c r="DH40" s="55"/>
      <c r="DI40" s="54"/>
      <c r="DJ40" s="4"/>
      <c r="DK40" s="4"/>
      <c r="DL40" s="4"/>
      <c r="DM40" s="55"/>
      <c r="DN40" s="54"/>
      <c r="DO40" s="4"/>
      <c r="DP40" s="4"/>
    </row>
    <row r="41">
      <c r="A41" s="26"/>
      <c r="B41" s="75" t="s">
        <v>73</v>
      </c>
      <c r="C41" s="2"/>
      <c r="D41" s="2"/>
      <c r="E41" s="47"/>
      <c r="F41" s="47"/>
      <c r="G41" s="47"/>
      <c r="H41" s="76"/>
      <c r="I41" s="76"/>
      <c r="J41" s="47" t="str">
        <f t="shared" si="23"/>
        <v/>
      </c>
      <c r="K41" s="47"/>
      <c r="L41" s="65"/>
      <c r="M41" s="73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3"/>
      <c r="CE41" s="54"/>
      <c r="CF41" s="4"/>
      <c r="CG41" s="4"/>
      <c r="CH41" s="4"/>
      <c r="CI41" s="55"/>
      <c r="CJ41" s="54"/>
      <c r="CK41" s="4"/>
      <c r="CL41" s="4"/>
      <c r="CM41" s="4"/>
      <c r="CN41" s="55"/>
      <c r="CO41" s="54"/>
      <c r="CP41" s="4"/>
      <c r="CQ41" s="4"/>
      <c r="CR41" s="4"/>
      <c r="CS41" s="55"/>
      <c r="CT41" s="54"/>
      <c r="CU41" s="4"/>
      <c r="CV41" s="4"/>
      <c r="CW41" s="4"/>
      <c r="CX41" s="55"/>
      <c r="CY41" s="54"/>
      <c r="CZ41" s="4"/>
      <c r="DA41" s="4"/>
      <c r="DB41" s="4"/>
      <c r="DC41" s="55"/>
      <c r="DD41" s="54"/>
      <c r="DE41" s="4"/>
      <c r="DF41" s="4"/>
      <c r="DG41" s="4"/>
      <c r="DH41" s="55"/>
      <c r="DI41" s="54"/>
      <c r="DJ41" s="4"/>
      <c r="DK41" s="4"/>
      <c r="DL41" s="4"/>
      <c r="DM41" s="55"/>
      <c r="DN41" s="54"/>
      <c r="DO41" s="4"/>
      <c r="DP41" s="4"/>
    </row>
    <row r="42">
      <c r="A42" s="34" t="s">
        <v>74</v>
      </c>
      <c r="B42" s="35"/>
      <c r="C42" s="35"/>
      <c r="D42" s="36"/>
      <c r="E42" s="36"/>
      <c r="F42" s="37"/>
      <c r="G42" s="77"/>
      <c r="H42" s="39">
        <v>45945.0</v>
      </c>
      <c r="I42" s="39">
        <v>45954.0</v>
      </c>
      <c r="J42" s="36"/>
      <c r="K42" s="47"/>
      <c r="L42" s="41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3"/>
      <c r="AJ42" s="43"/>
      <c r="AK42" s="43"/>
      <c r="AL42" s="43"/>
      <c r="AM42" s="43"/>
      <c r="AN42" s="43"/>
      <c r="AO42" s="43"/>
      <c r="AP42" s="43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</row>
    <row r="43">
      <c r="A43" s="44" t="s">
        <v>75</v>
      </c>
      <c r="B43" s="75" t="s">
        <v>76</v>
      </c>
      <c r="C43" s="46" t="s">
        <v>77</v>
      </c>
      <c r="D43" s="78" t="s">
        <v>78</v>
      </c>
      <c r="E43" s="79"/>
      <c r="F43" s="79"/>
      <c r="G43" s="49" t="s">
        <v>18</v>
      </c>
      <c r="H43" s="80">
        <v>45944.0</v>
      </c>
      <c r="I43" s="80">
        <v>45945.0</v>
      </c>
      <c r="J43" s="47"/>
      <c r="K43" s="49" t="s">
        <v>14</v>
      </c>
      <c r="L43" s="81"/>
      <c r="M43" s="73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43"/>
      <c r="AI43" s="43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82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</row>
    <row r="44">
      <c r="A44" s="56"/>
      <c r="B44" s="72" t="s">
        <v>79</v>
      </c>
      <c r="C44" s="60" t="s">
        <v>80</v>
      </c>
      <c r="D44" s="78" t="s">
        <v>81</v>
      </c>
      <c r="E44" s="79"/>
      <c r="F44" s="79"/>
      <c r="G44" s="49" t="s">
        <v>47</v>
      </c>
      <c r="H44" s="80">
        <v>45945.0</v>
      </c>
      <c r="I44" s="80">
        <v>45945.0</v>
      </c>
      <c r="J44" s="49" t="str">
        <f t="shared" ref="J44:J45" si="24">IF(C44="","",NETWORKDAYS(H44,I44,Filter!D$2:D1000))</f>
        <v>#REF!</v>
      </c>
      <c r="K44" s="49" t="s">
        <v>14</v>
      </c>
      <c r="L44" s="65"/>
      <c r="M44" s="73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43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3"/>
      <c r="CE44" s="54"/>
      <c r="CF44" s="4"/>
      <c r="CG44" s="4"/>
      <c r="CH44" s="4"/>
      <c r="CI44" s="55"/>
      <c r="CJ44" s="54"/>
      <c r="CK44" s="4"/>
      <c r="CL44" s="4"/>
      <c r="CM44" s="4"/>
      <c r="CN44" s="55"/>
      <c r="CO44" s="54"/>
      <c r="CP44" s="4"/>
      <c r="CQ44" s="4"/>
      <c r="CR44" s="4"/>
      <c r="CS44" s="55"/>
      <c r="CT44" s="54"/>
      <c r="CU44" s="4"/>
      <c r="CV44" s="4"/>
      <c r="CW44" s="4"/>
      <c r="CX44" s="55"/>
      <c r="CY44" s="54"/>
      <c r="CZ44" s="4"/>
      <c r="DA44" s="4"/>
      <c r="DB44" s="4"/>
      <c r="DC44" s="55"/>
      <c r="DD44" s="54"/>
      <c r="DE44" s="4"/>
      <c r="DF44" s="4"/>
      <c r="DG44" s="4"/>
      <c r="DH44" s="55"/>
      <c r="DI44" s="54"/>
      <c r="DJ44" s="4"/>
      <c r="DK44" s="4"/>
      <c r="DL44" s="4"/>
      <c r="DM44" s="55"/>
      <c r="DN44" s="54"/>
      <c r="DO44" s="4"/>
      <c r="DP44" s="4"/>
    </row>
    <row r="45">
      <c r="A45" s="56"/>
      <c r="B45" s="56"/>
      <c r="C45" s="56"/>
      <c r="D45" s="78" t="s">
        <v>82</v>
      </c>
      <c r="E45" s="79"/>
      <c r="F45" s="79"/>
      <c r="G45" s="49" t="s">
        <v>47</v>
      </c>
      <c r="H45" s="80">
        <v>45945.0</v>
      </c>
      <c r="I45" s="80">
        <v>45945.0</v>
      </c>
      <c r="J45" s="47" t="str">
        <f t="shared" si="24"/>
        <v/>
      </c>
      <c r="K45" s="49" t="s">
        <v>14</v>
      </c>
      <c r="L45" s="65"/>
      <c r="M45" s="73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43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3"/>
      <c r="CE45" s="54"/>
      <c r="CF45" s="4"/>
      <c r="CG45" s="4"/>
      <c r="CH45" s="4"/>
      <c r="CI45" s="55"/>
      <c r="CJ45" s="54"/>
      <c r="CK45" s="4"/>
      <c r="CL45" s="4"/>
      <c r="CM45" s="4"/>
      <c r="CN45" s="55"/>
      <c r="CO45" s="54"/>
      <c r="CP45" s="4"/>
      <c r="CQ45" s="4"/>
      <c r="CR45" s="4"/>
      <c r="CS45" s="55"/>
      <c r="CT45" s="54"/>
      <c r="CU45" s="4"/>
      <c r="CV45" s="4"/>
      <c r="CW45" s="4"/>
      <c r="CX45" s="55"/>
      <c r="CY45" s="54"/>
      <c r="CZ45" s="4"/>
      <c r="DA45" s="4"/>
      <c r="DB45" s="4"/>
      <c r="DC45" s="55"/>
      <c r="DD45" s="54"/>
      <c r="DE45" s="4"/>
      <c r="DF45" s="4"/>
      <c r="DG45" s="4"/>
      <c r="DH45" s="55"/>
      <c r="DI45" s="54"/>
      <c r="DJ45" s="4"/>
      <c r="DK45" s="4"/>
      <c r="DL45" s="4"/>
      <c r="DM45" s="55"/>
      <c r="DN45" s="54"/>
      <c r="DO45" s="4"/>
      <c r="DP45" s="4"/>
    </row>
    <row r="46">
      <c r="A46" s="56"/>
      <c r="B46" s="56"/>
      <c r="C46" s="56"/>
      <c r="D46" s="78" t="s">
        <v>83</v>
      </c>
      <c r="E46" s="79"/>
      <c r="F46" s="79"/>
      <c r="G46" s="49" t="s">
        <v>47</v>
      </c>
      <c r="H46" s="80">
        <v>45945.0</v>
      </c>
      <c r="I46" s="80">
        <v>45945.0</v>
      </c>
      <c r="J46" s="47"/>
      <c r="K46" s="49" t="s">
        <v>14</v>
      </c>
      <c r="L46" s="65"/>
      <c r="M46" s="73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43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3"/>
      <c r="CE46" s="54"/>
      <c r="CF46" s="4"/>
      <c r="CG46" s="4"/>
      <c r="CH46" s="4"/>
      <c r="CI46" s="55"/>
      <c r="CJ46" s="54"/>
      <c r="CK46" s="4"/>
      <c r="CL46" s="4"/>
      <c r="CM46" s="4"/>
      <c r="CN46" s="55"/>
      <c r="CO46" s="54"/>
      <c r="CP46" s="4"/>
      <c r="CQ46" s="4"/>
      <c r="CR46" s="4"/>
      <c r="CS46" s="55"/>
      <c r="CT46" s="54"/>
      <c r="CU46" s="4"/>
      <c r="CV46" s="4"/>
      <c r="CW46" s="4"/>
      <c r="CX46" s="55"/>
      <c r="CY46" s="54"/>
      <c r="CZ46" s="4"/>
      <c r="DA46" s="4"/>
      <c r="DB46" s="4"/>
      <c r="DC46" s="55"/>
      <c r="DD46" s="54"/>
      <c r="DE46" s="4"/>
      <c r="DF46" s="4"/>
      <c r="DG46" s="4"/>
      <c r="DH46" s="55"/>
      <c r="DI46" s="54"/>
      <c r="DJ46" s="4"/>
      <c r="DK46" s="4"/>
      <c r="DL46" s="4"/>
      <c r="DM46" s="55"/>
      <c r="DN46" s="54"/>
      <c r="DO46" s="4"/>
      <c r="DP46" s="4"/>
    </row>
    <row r="47">
      <c r="A47" s="56"/>
      <c r="B47" s="56"/>
      <c r="C47" s="56"/>
      <c r="D47" s="78" t="s">
        <v>84</v>
      </c>
      <c r="E47" s="79"/>
      <c r="F47" s="79"/>
      <c r="G47" s="49" t="s">
        <v>47</v>
      </c>
      <c r="H47" s="80">
        <v>45945.0</v>
      </c>
      <c r="I47" s="80">
        <v>45946.0</v>
      </c>
      <c r="J47" s="47"/>
      <c r="K47" s="49" t="s">
        <v>14</v>
      </c>
      <c r="L47" s="65"/>
      <c r="M47" s="73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43"/>
      <c r="AJ47" s="43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3"/>
      <c r="CE47" s="54"/>
      <c r="CF47" s="4"/>
      <c r="CG47" s="4"/>
      <c r="CH47" s="4"/>
      <c r="CI47" s="55"/>
      <c r="CJ47" s="54"/>
      <c r="CK47" s="4"/>
      <c r="CL47" s="4"/>
      <c r="CM47" s="4"/>
      <c r="CN47" s="55"/>
      <c r="CO47" s="54"/>
      <c r="CP47" s="4"/>
      <c r="CQ47" s="4"/>
      <c r="CR47" s="4"/>
      <c r="CS47" s="55"/>
      <c r="CT47" s="54"/>
      <c r="CU47" s="4"/>
      <c r="CV47" s="4"/>
      <c r="CW47" s="4"/>
      <c r="CX47" s="55"/>
      <c r="CY47" s="54"/>
      <c r="CZ47" s="4"/>
      <c r="DA47" s="4"/>
      <c r="DB47" s="4"/>
      <c r="DC47" s="55"/>
      <c r="DD47" s="54"/>
      <c r="DE47" s="4"/>
      <c r="DF47" s="4"/>
      <c r="DG47" s="4"/>
      <c r="DH47" s="55"/>
      <c r="DI47" s="54"/>
      <c r="DJ47" s="4"/>
      <c r="DK47" s="4"/>
      <c r="DL47" s="4"/>
      <c r="DM47" s="55"/>
      <c r="DN47" s="54"/>
      <c r="DO47" s="4"/>
      <c r="DP47" s="4"/>
    </row>
    <row r="48">
      <c r="A48" s="56"/>
      <c r="B48" s="56"/>
      <c r="C48" s="26"/>
      <c r="D48" s="78" t="s">
        <v>85</v>
      </c>
      <c r="E48" s="79"/>
      <c r="F48" s="79"/>
      <c r="G48" s="49" t="s">
        <v>47</v>
      </c>
      <c r="H48" s="80">
        <v>45945.0</v>
      </c>
      <c r="I48" s="80">
        <v>45945.0</v>
      </c>
      <c r="J48" s="47"/>
      <c r="K48" s="49" t="s">
        <v>14</v>
      </c>
      <c r="L48" s="65"/>
      <c r="M48" s="73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43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3"/>
      <c r="CE48" s="54"/>
      <c r="CF48" s="4"/>
      <c r="CG48" s="4"/>
      <c r="CH48" s="4"/>
      <c r="CI48" s="55"/>
      <c r="CJ48" s="54"/>
      <c r="CK48" s="4"/>
      <c r="CL48" s="4"/>
      <c r="CM48" s="4"/>
      <c r="CN48" s="55"/>
      <c r="CO48" s="54"/>
      <c r="CP48" s="4"/>
      <c r="CQ48" s="4"/>
      <c r="CR48" s="4"/>
      <c r="CS48" s="55"/>
      <c r="CT48" s="54"/>
      <c r="CU48" s="4"/>
      <c r="CV48" s="4"/>
      <c r="CW48" s="4"/>
      <c r="CX48" s="55"/>
      <c r="CY48" s="54"/>
      <c r="CZ48" s="4"/>
      <c r="DA48" s="4"/>
      <c r="DB48" s="4"/>
      <c r="DC48" s="55"/>
      <c r="DD48" s="54"/>
      <c r="DE48" s="4"/>
      <c r="DF48" s="4"/>
      <c r="DG48" s="4"/>
      <c r="DH48" s="55"/>
      <c r="DI48" s="54"/>
      <c r="DJ48" s="4"/>
      <c r="DK48" s="4"/>
      <c r="DL48" s="4"/>
      <c r="DM48" s="55"/>
      <c r="DN48" s="54"/>
      <c r="DO48" s="4"/>
      <c r="DP48" s="4"/>
    </row>
    <row r="49">
      <c r="A49" s="56"/>
      <c r="B49" s="56"/>
      <c r="C49" s="60" t="s">
        <v>86</v>
      </c>
      <c r="D49" s="66" t="s">
        <v>87</v>
      </c>
      <c r="E49" s="79"/>
      <c r="F49" s="79"/>
      <c r="G49" s="49" t="s">
        <v>18</v>
      </c>
      <c r="H49" s="80">
        <v>45945.0</v>
      </c>
      <c r="I49" s="80">
        <v>45945.0</v>
      </c>
      <c r="J49" s="49" t="str">
        <f t="shared" ref="J49:J56" si="25">IF(C49="","",NETWORKDAYS(H49,I49,Filter!D$2:D1000))</f>
        <v>#REF!</v>
      </c>
      <c r="K49" s="64" t="s">
        <v>14</v>
      </c>
      <c r="L49" s="65"/>
      <c r="M49" s="73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43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3"/>
      <c r="CE49" s="54"/>
      <c r="CF49" s="4"/>
      <c r="CG49" s="4"/>
      <c r="CH49" s="4"/>
      <c r="CI49" s="55"/>
      <c r="CJ49" s="54"/>
      <c r="CK49" s="4"/>
      <c r="CL49" s="4"/>
      <c r="CM49" s="4"/>
      <c r="CN49" s="55"/>
      <c r="CO49" s="54"/>
      <c r="CP49" s="4"/>
      <c r="CQ49" s="4"/>
      <c r="CR49" s="4"/>
      <c r="CS49" s="55"/>
      <c r="CT49" s="54"/>
      <c r="CU49" s="4"/>
      <c r="CV49" s="4"/>
      <c r="CW49" s="4"/>
      <c r="CX49" s="55"/>
      <c r="CY49" s="54"/>
      <c r="CZ49" s="4"/>
      <c r="DA49" s="4"/>
      <c r="DB49" s="4"/>
      <c r="DC49" s="55"/>
      <c r="DD49" s="54"/>
      <c r="DE49" s="4"/>
      <c r="DF49" s="4"/>
      <c r="DG49" s="4"/>
      <c r="DH49" s="55"/>
      <c r="DI49" s="54"/>
      <c r="DJ49" s="4"/>
      <c r="DK49" s="4"/>
      <c r="DL49" s="4"/>
      <c r="DM49" s="55"/>
      <c r="DN49" s="54"/>
      <c r="DO49" s="4"/>
      <c r="DP49" s="4"/>
    </row>
    <row r="50">
      <c r="A50" s="56"/>
      <c r="B50" s="56"/>
      <c r="C50" s="56"/>
      <c r="D50" s="83" t="s">
        <v>88</v>
      </c>
      <c r="E50" s="79"/>
      <c r="F50" s="79"/>
      <c r="G50" s="49" t="s">
        <v>18</v>
      </c>
      <c r="H50" s="80">
        <v>45946.0</v>
      </c>
      <c r="I50" s="80">
        <v>45950.0</v>
      </c>
      <c r="J50" s="47" t="str">
        <f t="shared" si="25"/>
        <v/>
      </c>
      <c r="K50" s="64" t="s">
        <v>14</v>
      </c>
      <c r="L50" s="65"/>
      <c r="M50" s="73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43"/>
      <c r="AK50" s="43"/>
      <c r="AL50" s="43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3"/>
      <c r="CE50" s="54"/>
      <c r="CF50" s="4"/>
      <c r="CG50" s="4"/>
      <c r="CH50" s="4"/>
      <c r="CI50" s="55"/>
      <c r="CJ50" s="54"/>
      <c r="CK50" s="4"/>
      <c r="CL50" s="4"/>
      <c r="CM50" s="4"/>
      <c r="CN50" s="55"/>
      <c r="CO50" s="54"/>
      <c r="CP50" s="4"/>
      <c r="CQ50" s="4"/>
      <c r="CR50" s="4"/>
      <c r="CS50" s="55"/>
      <c r="CT50" s="54"/>
      <c r="CU50" s="4"/>
      <c r="CV50" s="4"/>
      <c r="CW50" s="4"/>
      <c r="CX50" s="55"/>
      <c r="CY50" s="54"/>
      <c r="CZ50" s="4"/>
      <c r="DA50" s="4"/>
      <c r="DB50" s="4"/>
      <c r="DC50" s="55"/>
      <c r="DD50" s="54"/>
      <c r="DE50" s="4"/>
      <c r="DF50" s="4"/>
      <c r="DG50" s="4"/>
      <c r="DH50" s="55"/>
      <c r="DI50" s="54"/>
      <c r="DJ50" s="4"/>
      <c r="DK50" s="4"/>
      <c r="DL50" s="4"/>
      <c r="DM50" s="55"/>
      <c r="DN50" s="54"/>
      <c r="DO50" s="4"/>
      <c r="DP50" s="4"/>
    </row>
    <row r="51">
      <c r="A51" s="56"/>
      <c r="B51" s="56"/>
      <c r="C51" s="56"/>
      <c r="D51" s="83" t="s">
        <v>89</v>
      </c>
      <c r="E51" s="79"/>
      <c r="F51" s="79"/>
      <c r="G51" s="49" t="s">
        <v>47</v>
      </c>
      <c r="H51" s="80">
        <v>45945.0</v>
      </c>
      <c r="I51" s="80">
        <v>45954.0</v>
      </c>
      <c r="J51" s="47" t="str">
        <f t="shared" si="25"/>
        <v/>
      </c>
      <c r="K51" s="49" t="s">
        <v>14</v>
      </c>
      <c r="L51" s="65"/>
      <c r="M51" s="73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43"/>
      <c r="AJ51" s="43"/>
      <c r="AK51" s="43"/>
      <c r="AL51" s="43"/>
      <c r="AM51" s="43"/>
      <c r="AN51" s="43"/>
      <c r="AO51" s="43"/>
      <c r="AP51" s="43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3"/>
      <c r="CE51" s="54"/>
      <c r="CF51" s="4"/>
      <c r="CG51" s="4"/>
      <c r="CH51" s="4"/>
      <c r="CI51" s="55"/>
      <c r="CJ51" s="54"/>
      <c r="CK51" s="4"/>
      <c r="CL51" s="4"/>
      <c r="CM51" s="4"/>
      <c r="CN51" s="55"/>
      <c r="CO51" s="54"/>
      <c r="CP51" s="4"/>
      <c r="CQ51" s="4"/>
      <c r="CR51" s="4"/>
      <c r="CS51" s="55"/>
      <c r="CT51" s="54"/>
      <c r="CU51" s="4"/>
      <c r="CV51" s="4"/>
      <c r="CW51" s="4"/>
      <c r="CX51" s="55"/>
      <c r="CY51" s="54"/>
      <c r="CZ51" s="4"/>
      <c r="DA51" s="4"/>
      <c r="DB51" s="4"/>
      <c r="DC51" s="55"/>
      <c r="DD51" s="54"/>
      <c r="DE51" s="4"/>
      <c r="DF51" s="4"/>
      <c r="DG51" s="4"/>
      <c r="DH51" s="55"/>
      <c r="DI51" s="54"/>
      <c r="DJ51" s="4"/>
      <c r="DK51" s="4"/>
      <c r="DL51" s="4"/>
      <c r="DM51" s="55"/>
      <c r="DN51" s="54"/>
      <c r="DO51" s="4"/>
      <c r="DP51" s="4"/>
    </row>
    <row r="52">
      <c r="A52" s="56"/>
      <c r="B52" s="56"/>
      <c r="C52" s="26"/>
      <c r="D52" s="78" t="s">
        <v>90</v>
      </c>
      <c r="E52" s="79"/>
      <c r="F52" s="79"/>
      <c r="G52" s="49" t="s">
        <v>18</v>
      </c>
      <c r="H52" s="80">
        <v>45945.0</v>
      </c>
      <c r="I52" s="80">
        <v>45945.0</v>
      </c>
      <c r="J52" s="47" t="str">
        <f t="shared" si="25"/>
        <v/>
      </c>
      <c r="K52" s="49" t="s">
        <v>14</v>
      </c>
      <c r="L52" s="65"/>
      <c r="M52" s="73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43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3"/>
      <c r="CE52" s="54"/>
      <c r="CF52" s="4"/>
      <c r="CG52" s="4"/>
      <c r="CH52" s="4"/>
      <c r="CI52" s="55"/>
      <c r="CJ52" s="54"/>
      <c r="CK52" s="4"/>
      <c r="CL52" s="4"/>
      <c r="CM52" s="4"/>
      <c r="CN52" s="55"/>
      <c r="CO52" s="54"/>
      <c r="CP52" s="4"/>
      <c r="CQ52" s="4"/>
      <c r="CR52" s="4"/>
      <c r="CS52" s="55"/>
      <c r="CT52" s="54"/>
      <c r="CU52" s="4"/>
      <c r="CV52" s="4"/>
      <c r="CW52" s="4"/>
      <c r="CX52" s="55"/>
      <c r="CY52" s="54"/>
      <c r="CZ52" s="4"/>
      <c r="DA52" s="4"/>
      <c r="DB52" s="4"/>
      <c r="DC52" s="55"/>
      <c r="DD52" s="54"/>
      <c r="DE52" s="4"/>
      <c r="DF52" s="4"/>
      <c r="DG52" s="4"/>
      <c r="DH52" s="55"/>
      <c r="DI52" s="54"/>
      <c r="DJ52" s="4"/>
      <c r="DK52" s="4"/>
      <c r="DL52" s="4"/>
      <c r="DM52" s="55"/>
      <c r="DN52" s="54"/>
      <c r="DO52" s="4"/>
      <c r="DP52" s="4"/>
    </row>
    <row r="53">
      <c r="A53" s="56"/>
      <c r="B53" s="56"/>
      <c r="C53" s="60" t="s">
        <v>62</v>
      </c>
      <c r="D53" s="78" t="s">
        <v>91</v>
      </c>
      <c r="E53" s="79"/>
      <c r="F53" s="79"/>
      <c r="G53" s="49" t="s">
        <v>64</v>
      </c>
      <c r="H53" s="80">
        <v>45946.0</v>
      </c>
      <c r="I53" s="80">
        <v>45954.0</v>
      </c>
      <c r="J53" s="49" t="str">
        <f t="shared" si="25"/>
        <v>#REF!</v>
      </c>
      <c r="K53" s="49" t="s">
        <v>14</v>
      </c>
      <c r="L53" s="65"/>
      <c r="M53" s="73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43"/>
      <c r="AK53" s="43"/>
      <c r="AL53" s="43"/>
      <c r="AM53" s="43"/>
      <c r="AN53" s="43"/>
      <c r="AO53" s="43"/>
      <c r="AP53" s="43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3"/>
      <c r="CE53" s="54"/>
      <c r="CF53" s="4"/>
      <c r="CG53" s="4"/>
      <c r="CH53" s="4"/>
      <c r="CI53" s="55"/>
      <c r="CJ53" s="54"/>
      <c r="CK53" s="4"/>
      <c r="CL53" s="4"/>
      <c r="CM53" s="4"/>
      <c r="CN53" s="55"/>
      <c r="CO53" s="54"/>
      <c r="CP53" s="4"/>
      <c r="CQ53" s="4"/>
      <c r="CR53" s="4"/>
      <c r="CS53" s="55"/>
      <c r="CT53" s="54"/>
      <c r="CU53" s="4"/>
      <c r="CV53" s="4"/>
      <c r="CW53" s="4"/>
      <c r="CX53" s="55"/>
      <c r="CY53" s="54"/>
      <c r="CZ53" s="4"/>
      <c r="DA53" s="4"/>
      <c r="DB53" s="4"/>
      <c r="DC53" s="55"/>
      <c r="DD53" s="54"/>
      <c r="DE53" s="4"/>
      <c r="DF53" s="4"/>
      <c r="DG53" s="4"/>
      <c r="DH53" s="55"/>
      <c r="DI53" s="54"/>
      <c r="DJ53" s="4"/>
      <c r="DK53" s="4"/>
      <c r="DL53" s="4"/>
      <c r="DM53" s="55"/>
      <c r="DN53" s="54"/>
      <c r="DO53" s="4"/>
      <c r="DP53" s="4"/>
    </row>
    <row r="54">
      <c r="A54" s="56"/>
      <c r="B54" s="26"/>
      <c r="C54" s="26"/>
      <c r="D54" s="78" t="s">
        <v>92</v>
      </c>
      <c r="E54" s="79"/>
      <c r="F54" s="79"/>
      <c r="G54" s="49" t="s">
        <v>64</v>
      </c>
      <c r="H54" s="80">
        <v>45945.0</v>
      </c>
      <c r="I54" s="80">
        <v>45954.0</v>
      </c>
      <c r="J54" s="47" t="str">
        <f t="shared" si="25"/>
        <v/>
      </c>
      <c r="K54" s="49" t="s">
        <v>14</v>
      </c>
      <c r="L54" s="65"/>
      <c r="M54" s="73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43"/>
      <c r="AJ54" s="43"/>
      <c r="AK54" s="43"/>
      <c r="AL54" s="43"/>
      <c r="AM54" s="43"/>
      <c r="AN54" s="43"/>
      <c r="AO54" s="43"/>
      <c r="AP54" s="43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3"/>
      <c r="CE54" s="54"/>
      <c r="CF54" s="4"/>
      <c r="CG54" s="4"/>
      <c r="CH54" s="4"/>
      <c r="CI54" s="55"/>
      <c r="CJ54" s="54"/>
      <c r="CK54" s="4"/>
      <c r="CL54" s="4"/>
      <c r="CM54" s="4"/>
      <c r="CN54" s="55"/>
      <c r="CO54" s="54"/>
      <c r="CP54" s="4"/>
      <c r="CQ54" s="4"/>
      <c r="CR54" s="4"/>
      <c r="CS54" s="55"/>
      <c r="CT54" s="54"/>
      <c r="CU54" s="4"/>
      <c r="CV54" s="4"/>
      <c r="CW54" s="4"/>
      <c r="CX54" s="55"/>
      <c r="CY54" s="54"/>
      <c r="CZ54" s="4"/>
      <c r="DA54" s="4"/>
      <c r="DB54" s="4"/>
      <c r="DC54" s="55"/>
      <c r="DD54" s="54"/>
      <c r="DE54" s="4"/>
      <c r="DF54" s="4"/>
      <c r="DG54" s="4"/>
      <c r="DH54" s="55"/>
      <c r="DI54" s="54"/>
      <c r="DJ54" s="4"/>
      <c r="DK54" s="4"/>
      <c r="DL54" s="4"/>
      <c r="DM54" s="55"/>
      <c r="DN54" s="54"/>
      <c r="DO54" s="4"/>
      <c r="DP54" s="4"/>
    </row>
    <row r="55">
      <c r="A55" s="56"/>
      <c r="B55" s="84" t="s">
        <v>93</v>
      </c>
      <c r="C55" s="46" t="s">
        <v>94</v>
      </c>
      <c r="D55" s="46" t="s">
        <v>95</v>
      </c>
      <c r="E55" s="79"/>
      <c r="F55" s="79"/>
      <c r="G55" s="49" t="s">
        <v>47</v>
      </c>
      <c r="H55" s="80">
        <v>45946.0</v>
      </c>
      <c r="I55" s="80">
        <v>45946.0</v>
      </c>
      <c r="J55" s="49" t="str">
        <f t="shared" si="25"/>
        <v>#REF!</v>
      </c>
      <c r="K55" s="49" t="s">
        <v>14</v>
      </c>
      <c r="L55" s="65"/>
      <c r="M55" s="73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43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3"/>
      <c r="CE55" s="54"/>
      <c r="CF55" s="4"/>
      <c r="CG55" s="4"/>
      <c r="CH55" s="4"/>
      <c r="CI55" s="55"/>
      <c r="CJ55" s="54"/>
      <c r="CK55" s="4"/>
      <c r="CL55" s="4"/>
      <c r="CM55" s="4"/>
      <c r="CN55" s="55"/>
      <c r="CO55" s="54"/>
      <c r="CP55" s="4"/>
      <c r="CQ55" s="4"/>
      <c r="CR55" s="4"/>
      <c r="CS55" s="55"/>
      <c r="CT55" s="54"/>
      <c r="CU55" s="4"/>
      <c r="CV55" s="4"/>
      <c r="CW55" s="4"/>
      <c r="CX55" s="55"/>
      <c r="CY55" s="54"/>
      <c r="CZ55" s="4"/>
      <c r="DA55" s="4"/>
      <c r="DB55" s="4"/>
      <c r="DC55" s="55"/>
      <c r="DD55" s="54"/>
      <c r="DE55" s="4"/>
      <c r="DF55" s="4"/>
      <c r="DG55" s="4"/>
      <c r="DH55" s="55"/>
      <c r="DI55" s="54"/>
      <c r="DJ55" s="4"/>
      <c r="DK55" s="4"/>
      <c r="DL55" s="4"/>
      <c r="DM55" s="55"/>
      <c r="DN55" s="54"/>
      <c r="DO55" s="4"/>
      <c r="DP55" s="4"/>
    </row>
    <row r="56">
      <c r="A56" s="56"/>
      <c r="B56" s="71" t="s">
        <v>73</v>
      </c>
      <c r="C56" s="46" t="s">
        <v>96</v>
      </c>
      <c r="D56" s="78" t="s">
        <v>97</v>
      </c>
      <c r="E56" s="79"/>
      <c r="F56" s="79"/>
      <c r="G56" s="49" t="s">
        <v>64</v>
      </c>
      <c r="H56" s="80">
        <v>45946.0</v>
      </c>
      <c r="I56" s="80">
        <v>45948.0</v>
      </c>
      <c r="J56" s="49" t="str">
        <f t="shared" si="25"/>
        <v>#REF!</v>
      </c>
      <c r="K56" s="49" t="s">
        <v>14</v>
      </c>
      <c r="L56" s="65"/>
      <c r="M56" s="73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43"/>
      <c r="AK56" s="43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3"/>
      <c r="CE56" s="54"/>
      <c r="CF56" s="4"/>
      <c r="CG56" s="4"/>
      <c r="CH56" s="4"/>
      <c r="CI56" s="55"/>
      <c r="CJ56" s="54"/>
      <c r="CK56" s="4"/>
      <c r="CL56" s="4"/>
      <c r="CM56" s="4"/>
      <c r="CN56" s="55"/>
      <c r="CO56" s="54"/>
      <c r="CP56" s="4"/>
      <c r="CQ56" s="4"/>
      <c r="CR56" s="4"/>
      <c r="CS56" s="55"/>
      <c r="CT56" s="54"/>
      <c r="CU56" s="4"/>
      <c r="CV56" s="4"/>
      <c r="CW56" s="4"/>
      <c r="CX56" s="55"/>
      <c r="CY56" s="54"/>
      <c r="CZ56" s="4"/>
      <c r="DA56" s="4"/>
      <c r="DB56" s="4"/>
      <c r="DC56" s="55"/>
      <c r="DD56" s="54"/>
      <c r="DE56" s="4"/>
      <c r="DF56" s="4"/>
      <c r="DG56" s="4"/>
      <c r="DH56" s="55"/>
      <c r="DI56" s="54"/>
      <c r="DJ56" s="4"/>
      <c r="DK56" s="4"/>
      <c r="DL56" s="4"/>
      <c r="DM56" s="55"/>
      <c r="DN56" s="54"/>
      <c r="DO56" s="4"/>
      <c r="DP56" s="4"/>
    </row>
    <row r="57">
      <c r="A57" s="56"/>
      <c r="B57" s="56"/>
      <c r="C57" s="46" t="s">
        <v>98</v>
      </c>
      <c r="D57" s="78" t="s">
        <v>99</v>
      </c>
      <c r="E57" s="79"/>
      <c r="F57" s="79"/>
      <c r="G57" s="49" t="s">
        <v>100</v>
      </c>
      <c r="H57" s="80">
        <v>45945.0</v>
      </c>
      <c r="I57" s="80">
        <v>45954.0</v>
      </c>
      <c r="J57" s="47"/>
      <c r="K57" s="49" t="s">
        <v>101</v>
      </c>
      <c r="L57" s="65"/>
      <c r="M57" s="73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43"/>
      <c r="AJ57" s="43"/>
      <c r="AK57" s="43"/>
      <c r="AL57" s="43"/>
      <c r="AM57" s="43"/>
      <c r="AN57" s="43"/>
      <c r="AO57" s="43"/>
      <c r="AP57" s="43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3"/>
      <c r="CE57" s="54"/>
      <c r="CF57" s="4"/>
      <c r="CG57" s="4"/>
      <c r="CH57" s="4"/>
      <c r="CI57" s="55"/>
      <c r="CJ57" s="54"/>
      <c r="CK57" s="4"/>
      <c r="CL57" s="4"/>
      <c r="CM57" s="4"/>
      <c r="CN57" s="55"/>
      <c r="CO57" s="54"/>
      <c r="CP57" s="4"/>
      <c r="CQ57" s="4"/>
      <c r="CR57" s="4"/>
      <c r="CS57" s="55"/>
      <c r="CT57" s="54"/>
      <c r="CU57" s="4"/>
      <c r="CV57" s="4"/>
      <c r="CW57" s="4"/>
      <c r="CX57" s="55"/>
      <c r="CY57" s="54"/>
      <c r="CZ57" s="4"/>
      <c r="DA57" s="4"/>
      <c r="DB57" s="4"/>
      <c r="DC57" s="55"/>
      <c r="DD57" s="54"/>
      <c r="DE57" s="4"/>
      <c r="DF57" s="4"/>
      <c r="DG57" s="4"/>
      <c r="DH57" s="55"/>
      <c r="DI57" s="54"/>
      <c r="DJ57" s="4"/>
      <c r="DK57" s="4"/>
      <c r="DL57" s="4"/>
      <c r="DM57" s="55"/>
      <c r="DN57" s="54"/>
      <c r="DO57" s="4"/>
      <c r="DP57" s="4"/>
    </row>
    <row r="58">
      <c r="A58" s="56"/>
      <c r="B58" s="56"/>
      <c r="C58" s="46" t="s">
        <v>102</v>
      </c>
      <c r="D58" s="78" t="s">
        <v>103</v>
      </c>
      <c r="E58" s="79"/>
      <c r="F58" s="79"/>
      <c r="G58" s="49" t="s">
        <v>64</v>
      </c>
      <c r="H58" s="80">
        <v>45951.0</v>
      </c>
      <c r="I58" s="80">
        <v>45954.0</v>
      </c>
      <c r="J58" s="47"/>
      <c r="K58" s="49" t="s">
        <v>14</v>
      </c>
      <c r="L58" s="65"/>
      <c r="M58" s="73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43"/>
      <c r="AN58" s="43"/>
      <c r="AO58" s="43"/>
      <c r="AP58" s="43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3"/>
      <c r="CE58" s="54"/>
      <c r="CF58" s="4"/>
      <c r="CG58" s="4"/>
      <c r="CH58" s="4"/>
      <c r="CI58" s="55"/>
      <c r="CJ58" s="54"/>
      <c r="CK58" s="4"/>
      <c r="CL58" s="4"/>
      <c r="CM58" s="4"/>
      <c r="CN58" s="55"/>
      <c r="CO58" s="54"/>
      <c r="CP58" s="4"/>
      <c r="CQ58" s="4"/>
      <c r="CR58" s="4"/>
      <c r="CS58" s="55"/>
      <c r="CT58" s="54"/>
      <c r="CU58" s="4"/>
      <c r="CV58" s="4"/>
      <c r="CW58" s="4"/>
      <c r="CX58" s="55"/>
      <c r="CY58" s="54"/>
      <c r="CZ58" s="4"/>
      <c r="DA58" s="4"/>
      <c r="DB58" s="4"/>
      <c r="DC58" s="55"/>
      <c r="DD58" s="54"/>
      <c r="DE58" s="4"/>
      <c r="DF58" s="4"/>
      <c r="DG58" s="4"/>
      <c r="DH58" s="55"/>
      <c r="DI58" s="54"/>
      <c r="DJ58" s="4"/>
      <c r="DK58" s="4"/>
      <c r="DL58" s="4"/>
      <c r="DM58" s="55"/>
      <c r="DN58" s="54"/>
      <c r="DO58" s="4"/>
      <c r="DP58" s="4"/>
    </row>
    <row r="59">
      <c r="A59" s="56"/>
      <c r="B59" s="26"/>
      <c r="C59" s="2"/>
      <c r="D59" s="85"/>
      <c r="E59" s="79"/>
      <c r="F59" s="79"/>
      <c r="G59" s="47"/>
      <c r="H59" s="86"/>
      <c r="I59" s="86"/>
      <c r="J59" s="47" t="str">
        <f>IF(C59="","",NETWORKDAYS(H59,I59,Filter!D$2:D1000))</f>
        <v/>
      </c>
      <c r="K59" s="47"/>
      <c r="L59" s="65"/>
      <c r="M59" s="73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3"/>
      <c r="CE59" s="54"/>
      <c r="CF59" s="4"/>
      <c r="CG59" s="4"/>
      <c r="CH59" s="4"/>
      <c r="CI59" s="55"/>
      <c r="CJ59" s="54"/>
      <c r="CK59" s="4"/>
      <c r="CL59" s="4"/>
      <c r="CM59" s="4"/>
      <c r="CN59" s="55"/>
      <c r="CO59" s="54"/>
      <c r="CP59" s="4"/>
      <c r="CQ59" s="4"/>
      <c r="CR59" s="4"/>
      <c r="CS59" s="55"/>
      <c r="CT59" s="54"/>
      <c r="CU59" s="4"/>
      <c r="CV59" s="4"/>
      <c r="CW59" s="4"/>
      <c r="CX59" s="55"/>
      <c r="CY59" s="54"/>
      <c r="CZ59" s="4"/>
      <c r="DA59" s="4"/>
      <c r="DB59" s="4"/>
      <c r="DC59" s="55"/>
      <c r="DD59" s="54"/>
      <c r="DE59" s="4"/>
      <c r="DF59" s="4"/>
      <c r="DG59" s="4"/>
      <c r="DH59" s="55"/>
      <c r="DI59" s="54"/>
      <c r="DJ59" s="4"/>
      <c r="DK59" s="4"/>
      <c r="DL59" s="4"/>
      <c r="DM59" s="55"/>
      <c r="DN59" s="54"/>
      <c r="DO59" s="4"/>
      <c r="DP59" s="4"/>
    </row>
    <row r="60">
      <c r="A60" s="56"/>
      <c r="B60" s="87" t="s">
        <v>104</v>
      </c>
      <c r="C60" s="60" t="s">
        <v>105</v>
      </c>
      <c r="D60" s="66" t="s">
        <v>106</v>
      </c>
      <c r="E60" s="79"/>
      <c r="F60" s="88"/>
      <c r="G60" s="69" t="s">
        <v>107</v>
      </c>
      <c r="H60" s="89">
        <v>45947.0</v>
      </c>
      <c r="I60" s="89">
        <v>45952.0</v>
      </c>
      <c r="J60" s="47"/>
      <c r="K60" s="49" t="s">
        <v>14</v>
      </c>
      <c r="L60" s="65"/>
      <c r="M60" s="73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43"/>
      <c r="AL60" s="43"/>
      <c r="AM60" s="43"/>
      <c r="AN60" s="43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3"/>
      <c r="CE60" s="54"/>
      <c r="CF60" s="4"/>
      <c r="CG60" s="4"/>
      <c r="CH60" s="4"/>
      <c r="CI60" s="55"/>
      <c r="CJ60" s="54"/>
      <c r="CK60" s="4"/>
      <c r="CL60" s="4"/>
      <c r="CM60" s="4"/>
      <c r="CN60" s="55"/>
      <c r="CO60" s="54"/>
      <c r="CP60" s="4"/>
      <c r="CQ60" s="4"/>
      <c r="CR60" s="4"/>
      <c r="CS60" s="55"/>
      <c r="CT60" s="54"/>
      <c r="CU60" s="4"/>
      <c r="CV60" s="4"/>
      <c r="CW60" s="4"/>
      <c r="CX60" s="55"/>
      <c r="CY60" s="54"/>
      <c r="CZ60" s="4"/>
      <c r="DA60" s="4"/>
      <c r="DB60" s="4"/>
      <c r="DC60" s="55"/>
      <c r="DD60" s="54"/>
      <c r="DE60" s="4"/>
      <c r="DF60" s="4"/>
      <c r="DG60" s="4"/>
      <c r="DH60" s="55"/>
      <c r="DI60" s="54"/>
      <c r="DJ60" s="4"/>
      <c r="DK60" s="4"/>
      <c r="DL60" s="4"/>
      <c r="DM60" s="55"/>
      <c r="DN60" s="54"/>
      <c r="DO60" s="4"/>
      <c r="DP60" s="4"/>
    </row>
    <row r="61">
      <c r="A61" s="56"/>
      <c r="B61" s="56"/>
      <c r="C61" s="56"/>
      <c r="D61" s="66" t="s">
        <v>108</v>
      </c>
      <c r="E61" s="79"/>
      <c r="F61" s="88"/>
      <c r="G61" s="69" t="s">
        <v>107</v>
      </c>
      <c r="H61" s="89">
        <v>45947.0</v>
      </c>
      <c r="I61" s="89">
        <v>45953.0</v>
      </c>
      <c r="J61" s="47" t="str">
        <f t="shared" ref="J61:J62" si="26">IF(C61="","",NETWORKDAYS(H61,I61,Filter!D$2:D1000))</f>
        <v/>
      </c>
      <c r="K61" s="49" t="s">
        <v>14</v>
      </c>
      <c r="L61" s="65"/>
      <c r="M61" s="73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43"/>
      <c r="AL61" s="43"/>
      <c r="AM61" s="43"/>
      <c r="AN61" s="43"/>
      <c r="AO61" s="43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3"/>
      <c r="CE61" s="54"/>
      <c r="CF61" s="4"/>
      <c r="CG61" s="4"/>
      <c r="CH61" s="4"/>
      <c r="CI61" s="55"/>
      <c r="CJ61" s="54"/>
      <c r="CK61" s="4"/>
      <c r="CL61" s="4"/>
      <c r="CM61" s="4"/>
      <c r="CN61" s="55"/>
      <c r="CO61" s="54"/>
      <c r="CP61" s="4"/>
      <c r="CQ61" s="4"/>
      <c r="CR61" s="4"/>
      <c r="CS61" s="55"/>
      <c r="CT61" s="54"/>
      <c r="CU61" s="4"/>
      <c r="CV61" s="4"/>
      <c r="CW61" s="4"/>
      <c r="CX61" s="55"/>
      <c r="CY61" s="54"/>
      <c r="CZ61" s="4"/>
      <c r="DA61" s="4"/>
      <c r="DB61" s="4"/>
      <c r="DC61" s="55"/>
      <c r="DD61" s="54"/>
      <c r="DE61" s="4"/>
      <c r="DF61" s="4"/>
      <c r="DG61" s="4"/>
      <c r="DH61" s="55"/>
      <c r="DI61" s="54"/>
      <c r="DJ61" s="4"/>
      <c r="DK61" s="4"/>
      <c r="DL61" s="4"/>
      <c r="DM61" s="55"/>
      <c r="DN61" s="54"/>
      <c r="DO61" s="4"/>
      <c r="DP61" s="4"/>
    </row>
    <row r="62">
      <c r="A62" s="56"/>
      <c r="B62" s="56"/>
      <c r="C62" s="26"/>
      <c r="D62" s="66" t="s">
        <v>109</v>
      </c>
      <c r="E62" s="79"/>
      <c r="F62" s="88"/>
      <c r="G62" s="69" t="s">
        <v>107</v>
      </c>
      <c r="H62" s="89">
        <v>45951.0</v>
      </c>
      <c r="I62" s="89">
        <v>45959.0</v>
      </c>
      <c r="J62" s="47" t="str">
        <f t="shared" si="26"/>
        <v/>
      </c>
      <c r="K62" s="49" t="s">
        <v>14</v>
      </c>
      <c r="L62" s="65"/>
      <c r="M62" s="73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43"/>
      <c r="AN62" s="43"/>
      <c r="AO62" s="43"/>
      <c r="AP62" s="43"/>
      <c r="AQ62" s="43"/>
      <c r="AR62" s="43"/>
      <c r="AS62" s="43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3"/>
      <c r="CE62" s="54"/>
      <c r="CF62" s="4"/>
      <c r="CG62" s="4"/>
      <c r="CH62" s="4"/>
      <c r="CI62" s="55"/>
      <c r="CJ62" s="54"/>
      <c r="CK62" s="4"/>
      <c r="CL62" s="4"/>
      <c r="CM62" s="4"/>
      <c r="CN62" s="55"/>
      <c r="CO62" s="54"/>
      <c r="CP62" s="4"/>
      <c r="CQ62" s="4"/>
      <c r="CR62" s="4"/>
      <c r="CS62" s="55"/>
      <c r="CT62" s="54"/>
      <c r="CU62" s="4"/>
      <c r="CV62" s="4"/>
      <c r="CW62" s="4"/>
      <c r="CX62" s="55"/>
      <c r="CY62" s="54"/>
      <c r="CZ62" s="4"/>
      <c r="DA62" s="4"/>
      <c r="DB62" s="4"/>
      <c r="DC62" s="55"/>
      <c r="DD62" s="54"/>
      <c r="DE62" s="4"/>
      <c r="DF62" s="4"/>
      <c r="DG62" s="4"/>
      <c r="DH62" s="55"/>
      <c r="DI62" s="54"/>
      <c r="DJ62" s="4"/>
      <c r="DK62" s="4"/>
      <c r="DL62" s="4"/>
      <c r="DM62" s="55"/>
      <c r="DN62" s="54"/>
      <c r="DO62" s="4"/>
      <c r="DP62" s="4"/>
    </row>
    <row r="63">
      <c r="A63" s="56"/>
      <c r="B63" s="26"/>
      <c r="C63" s="46" t="s">
        <v>110</v>
      </c>
      <c r="D63" s="66" t="s">
        <v>111</v>
      </c>
      <c r="E63" s="79"/>
      <c r="F63" s="88"/>
      <c r="G63" s="69" t="s">
        <v>112</v>
      </c>
      <c r="H63" s="89">
        <v>45952.0</v>
      </c>
      <c r="I63" s="89">
        <v>45952.0</v>
      </c>
      <c r="J63" s="47"/>
      <c r="K63" s="49" t="s">
        <v>14</v>
      </c>
      <c r="L63" s="65"/>
      <c r="M63" s="73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43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3"/>
      <c r="CE63" s="54"/>
      <c r="CF63" s="4"/>
      <c r="CG63" s="4"/>
      <c r="CH63" s="4"/>
      <c r="CI63" s="55"/>
      <c r="CJ63" s="54"/>
      <c r="CK63" s="4"/>
      <c r="CL63" s="4"/>
      <c r="CM63" s="4"/>
      <c r="CN63" s="55"/>
      <c r="CO63" s="54"/>
      <c r="CP63" s="4"/>
      <c r="CQ63" s="4"/>
      <c r="CR63" s="4"/>
      <c r="CS63" s="55"/>
      <c r="CT63" s="54"/>
      <c r="CU63" s="4"/>
      <c r="CV63" s="4"/>
      <c r="CW63" s="4"/>
      <c r="CX63" s="55"/>
      <c r="CY63" s="54"/>
      <c r="CZ63" s="4"/>
      <c r="DA63" s="4"/>
      <c r="DB63" s="4"/>
      <c r="DC63" s="55"/>
      <c r="DD63" s="54"/>
      <c r="DE63" s="4"/>
      <c r="DF63" s="4"/>
      <c r="DG63" s="4"/>
      <c r="DH63" s="55"/>
      <c r="DI63" s="54"/>
      <c r="DJ63" s="4"/>
      <c r="DK63" s="4"/>
      <c r="DL63" s="4"/>
      <c r="DM63" s="55"/>
      <c r="DN63" s="54"/>
      <c r="DO63" s="4"/>
      <c r="DP63" s="4"/>
    </row>
    <row r="64">
      <c r="A64" s="56"/>
      <c r="B64" s="71" t="s">
        <v>113</v>
      </c>
      <c r="C64" s="90" t="s">
        <v>114</v>
      </c>
      <c r="D64" s="66" t="s">
        <v>115</v>
      </c>
      <c r="E64" s="79"/>
      <c r="F64" s="79"/>
      <c r="G64" s="49" t="s">
        <v>107</v>
      </c>
      <c r="H64" s="80">
        <v>45951.0</v>
      </c>
      <c r="I64" s="80">
        <v>45952.0</v>
      </c>
      <c r="J64" s="47"/>
      <c r="K64" s="49" t="s">
        <v>14</v>
      </c>
      <c r="L64" s="65"/>
      <c r="M64" s="73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43"/>
      <c r="AN64" s="43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3"/>
      <c r="CE64" s="54"/>
      <c r="CF64" s="4"/>
      <c r="CG64" s="4"/>
      <c r="CH64" s="4"/>
      <c r="CI64" s="55"/>
      <c r="CJ64" s="54"/>
      <c r="CK64" s="4"/>
      <c r="CL64" s="4"/>
      <c r="CM64" s="4"/>
      <c r="CN64" s="55"/>
      <c r="CO64" s="54"/>
      <c r="CP64" s="4"/>
      <c r="CQ64" s="4"/>
      <c r="CR64" s="4"/>
      <c r="CS64" s="55"/>
      <c r="CT64" s="54"/>
      <c r="CU64" s="4"/>
      <c r="CV64" s="4"/>
      <c r="CW64" s="4"/>
      <c r="CX64" s="55"/>
      <c r="CY64" s="54"/>
      <c r="CZ64" s="4"/>
      <c r="DA64" s="4"/>
      <c r="DB64" s="4"/>
      <c r="DC64" s="55"/>
      <c r="DD64" s="54"/>
      <c r="DE64" s="4"/>
      <c r="DF64" s="4"/>
      <c r="DG64" s="4"/>
      <c r="DH64" s="55"/>
      <c r="DI64" s="54"/>
      <c r="DJ64" s="4"/>
      <c r="DK64" s="4"/>
      <c r="DL64" s="4"/>
      <c r="DM64" s="55"/>
      <c r="DN64" s="54"/>
      <c r="DO64" s="4"/>
      <c r="DP64" s="4"/>
    </row>
    <row r="65">
      <c r="A65" s="56"/>
      <c r="B65" s="56"/>
      <c r="C65" s="56"/>
      <c r="D65" s="78" t="s">
        <v>116</v>
      </c>
      <c r="E65" s="79"/>
      <c r="F65" s="79"/>
      <c r="G65" s="49" t="s">
        <v>107</v>
      </c>
      <c r="H65" s="86"/>
      <c r="I65" s="86"/>
      <c r="J65" s="47"/>
      <c r="K65" s="49" t="s">
        <v>14</v>
      </c>
      <c r="L65" s="65"/>
      <c r="M65" s="73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3"/>
      <c r="CE65" s="54"/>
      <c r="CF65" s="4"/>
      <c r="CG65" s="4"/>
      <c r="CH65" s="4"/>
      <c r="CI65" s="55"/>
      <c r="CJ65" s="54"/>
      <c r="CK65" s="4"/>
      <c r="CL65" s="4"/>
      <c r="CM65" s="4"/>
      <c r="CN65" s="55"/>
      <c r="CO65" s="54"/>
      <c r="CP65" s="4"/>
      <c r="CQ65" s="4"/>
      <c r="CR65" s="4"/>
      <c r="CS65" s="55"/>
      <c r="CT65" s="54"/>
      <c r="CU65" s="4"/>
      <c r="CV65" s="4"/>
      <c r="CW65" s="4"/>
      <c r="CX65" s="55"/>
      <c r="CY65" s="54"/>
      <c r="CZ65" s="4"/>
      <c r="DA65" s="4"/>
      <c r="DB65" s="4"/>
      <c r="DC65" s="55"/>
      <c r="DD65" s="54"/>
      <c r="DE65" s="4"/>
      <c r="DF65" s="4"/>
      <c r="DG65" s="4"/>
      <c r="DH65" s="55"/>
      <c r="DI65" s="54"/>
      <c r="DJ65" s="4"/>
      <c r="DK65" s="4"/>
      <c r="DL65" s="4"/>
      <c r="DM65" s="55"/>
      <c r="DN65" s="54"/>
      <c r="DO65" s="4"/>
      <c r="DP65" s="4"/>
    </row>
    <row r="66">
      <c r="A66" s="56"/>
      <c r="B66" s="56"/>
      <c r="C66" s="26"/>
      <c r="D66" s="78" t="s">
        <v>117</v>
      </c>
      <c r="E66" s="79"/>
      <c r="F66" s="79"/>
      <c r="G66" s="49" t="s">
        <v>107</v>
      </c>
      <c r="H66" s="86"/>
      <c r="I66" s="86"/>
      <c r="J66" s="47"/>
      <c r="K66" s="49" t="s">
        <v>14</v>
      </c>
      <c r="L66" s="65"/>
      <c r="M66" s="73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3"/>
      <c r="CE66" s="54"/>
      <c r="CF66" s="4"/>
      <c r="CG66" s="4"/>
      <c r="CH66" s="4"/>
      <c r="CI66" s="55"/>
      <c r="CJ66" s="54"/>
      <c r="CK66" s="4"/>
      <c r="CL66" s="4"/>
      <c r="CM66" s="4"/>
      <c r="CN66" s="55"/>
      <c r="CO66" s="54"/>
      <c r="CP66" s="4"/>
      <c r="CQ66" s="4"/>
      <c r="CR66" s="4"/>
      <c r="CS66" s="55"/>
      <c r="CT66" s="54"/>
      <c r="CU66" s="4"/>
      <c r="CV66" s="4"/>
      <c r="CW66" s="4"/>
      <c r="CX66" s="55"/>
      <c r="CY66" s="54"/>
      <c r="CZ66" s="4"/>
      <c r="DA66" s="4"/>
      <c r="DB66" s="4"/>
      <c r="DC66" s="55"/>
      <c r="DD66" s="54"/>
      <c r="DE66" s="4"/>
      <c r="DF66" s="4"/>
      <c r="DG66" s="4"/>
      <c r="DH66" s="55"/>
      <c r="DI66" s="54"/>
      <c r="DJ66" s="4"/>
      <c r="DK66" s="4"/>
      <c r="DL66" s="4"/>
      <c r="DM66" s="55"/>
      <c r="DN66" s="54"/>
      <c r="DO66" s="4"/>
      <c r="DP66" s="4"/>
    </row>
    <row r="67">
      <c r="A67" s="56"/>
      <c r="B67" s="56"/>
      <c r="C67" s="90" t="s">
        <v>118</v>
      </c>
      <c r="D67" s="78" t="s">
        <v>119</v>
      </c>
      <c r="E67" s="79"/>
      <c r="F67" s="79"/>
      <c r="G67" s="49" t="s">
        <v>37</v>
      </c>
      <c r="H67" s="80">
        <v>45952.0</v>
      </c>
      <c r="I67" s="80">
        <v>45953.0</v>
      </c>
      <c r="J67" s="49" t="str">
        <f>IF(C67="","",NETWORKDAYS(H67,I67,Filter!D$2:D1000))</f>
        <v>#REF!</v>
      </c>
      <c r="K67" s="49" t="s">
        <v>14</v>
      </c>
      <c r="L67" s="65"/>
      <c r="M67" s="73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43"/>
      <c r="AO67" s="43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3"/>
      <c r="CE67" s="54"/>
      <c r="CF67" s="4"/>
      <c r="CG67" s="4"/>
      <c r="CH67" s="4"/>
      <c r="CI67" s="55"/>
      <c r="CJ67" s="54"/>
      <c r="CK67" s="4"/>
      <c r="CL67" s="4"/>
      <c r="CM67" s="4"/>
      <c r="CN67" s="55"/>
      <c r="CO67" s="54"/>
      <c r="CP67" s="4"/>
      <c r="CQ67" s="4"/>
      <c r="CR67" s="4"/>
      <c r="CS67" s="55"/>
      <c r="CT67" s="54"/>
      <c r="CU67" s="4"/>
      <c r="CV67" s="4"/>
      <c r="CW67" s="4"/>
      <c r="CX67" s="55"/>
      <c r="CY67" s="54"/>
      <c r="CZ67" s="4"/>
      <c r="DA67" s="4"/>
      <c r="DB67" s="4"/>
      <c r="DC67" s="55"/>
      <c r="DD67" s="54"/>
      <c r="DE67" s="4"/>
      <c r="DF67" s="4"/>
      <c r="DG67" s="4"/>
      <c r="DH67" s="55"/>
      <c r="DI67" s="54"/>
      <c r="DJ67" s="4"/>
      <c r="DK67" s="4"/>
      <c r="DL67" s="4"/>
      <c r="DM67" s="55"/>
      <c r="DN67" s="54"/>
      <c r="DO67" s="4"/>
      <c r="DP67" s="4"/>
    </row>
    <row r="68">
      <c r="A68" s="56"/>
      <c r="B68" s="56"/>
      <c r="C68" s="56"/>
      <c r="D68" s="78" t="s">
        <v>120</v>
      </c>
      <c r="E68" s="79"/>
      <c r="F68" s="79"/>
      <c r="G68" s="49" t="s">
        <v>112</v>
      </c>
      <c r="H68" s="86"/>
      <c r="I68" s="86"/>
      <c r="J68" s="47"/>
      <c r="K68" s="47"/>
      <c r="L68" s="65"/>
      <c r="M68" s="73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3"/>
      <c r="CE68" s="54"/>
      <c r="CF68" s="4"/>
      <c r="CG68" s="4"/>
      <c r="CH68" s="4"/>
      <c r="CI68" s="55"/>
      <c r="CJ68" s="54"/>
      <c r="CK68" s="4"/>
      <c r="CL68" s="4"/>
      <c r="CM68" s="4"/>
      <c r="CN68" s="55"/>
      <c r="CO68" s="54"/>
      <c r="CP68" s="4"/>
      <c r="CQ68" s="4"/>
      <c r="CR68" s="4"/>
      <c r="CS68" s="55"/>
      <c r="CT68" s="54"/>
      <c r="CU68" s="4"/>
      <c r="CV68" s="4"/>
      <c r="CW68" s="4"/>
      <c r="CX68" s="55"/>
      <c r="CY68" s="54"/>
      <c r="CZ68" s="4"/>
      <c r="DA68" s="4"/>
      <c r="DB68" s="4"/>
      <c r="DC68" s="55"/>
      <c r="DD68" s="54"/>
      <c r="DE68" s="4"/>
      <c r="DF68" s="4"/>
      <c r="DG68" s="4"/>
      <c r="DH68" s="55"/>
      <c r="DI68" s="54"/>
      <c r="DJ68" s="4"/>
      <c r="DK68" s="4"/>
      <c r="DL68" s="4"/>
      <c r="DM68" s="55"/>
      <c r="DN68" s="54"/>
      <c r="DO68" s="4"/>
      <c r="DP68" s="4"/>
    </row>
    <row r="69">
      <c r="A69" s="56"/>
      <c r="B69" s="56"/>
      <c r="C69" s="26"/>
      <c r="D69" s="78" t="s">
        <v>121</v>
      </c>
      <c r="E69" s="79"/>
      <c r="F69" s="79"/>
      <c r="G69" s="49" t="s">
        <v>122</v>
      </c>
      <c r="H69" s="80">
        <v>45953.0</v>
      </c>
      <c r="I69" s="80">
        <v>45954.0</v>
      </c>
      <c r="J69" s="47" t="str">
        <f>IF(C69="","",NETWORKDAYS(H69,I69,Filter!D$2:D1000))</f>
        <v/>
      </c>
      <c r="K69" s="49" t="s">
        <v>14</v>
      </c>
      <c r="L69" s="65"/>
      <c r="M69" s="73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43"/>
      <c r="AP69" s="43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3"/>
      <c r="CE69" s="54"/>
      <c r="CF69" s="4"/>
      <c r="CG69" s="4"/>
      <c r="CH69" s="4"/>
      <c r="CI69" s="55"/>
      <c r="CJ69" s="54"/>
      <c r="CK69" s="4"/>
      <c r="CL69" s="4"/>
      <c r="CM69" s="4"/>
      <c r="CN69" s="55"/>
      <c r="CO69" s="54"/>
      <c r="CP69" s="4"/>
      <c r="CQ69" s="4"/>
      <c r="CR69" s="4"/>
      <c r="CS69" s="55"/>
      <c r="CT69" s="54"/>
      <c r="CU69" s="4"/>
      <c r="CV69" s="4"/>
      <c r="CW69" s="4"/>
      <c r="CX69" s="55"/>
      <c r="CY69" s="54"/>
      <c r="CZ69" s="4"/>
      <c r="DA69" s="4"/>
      <c r="DB69" s="4"/>
      <c r="DC69" s="55"/>
      <c r="DD69" s="54"/>
      <c r="DE69" s="4"/>
      <c r="DF69" s="4"/>
      <c r="DG69" s="4"/>
      <c r="DH69" s="55"/>
      <c r="DI69" s="54"/>
      <c r="DJ69" s="4"/>
      <c r="DK69" s="4"/>
      <c r="DL69" s="4"/>
      <c r="DM69" s="55"/>
      <c r="DN69" s="54"/>
      <c r="DO69" s="4"/>
      <c r="DP69" s="4"/>
    </row>
    <row r="70">
      <c r="A70" s="56"/>
      <c r="B70" s="56"/>
      <c r="C70" s="90" t="s">
        <v>123</v>
      </c>
      <c r="D70" s="66" t="s">
        <v>124</v>
      </c>
      <c r="E70" s="79"/>
      <c r="F70" s="79"/>
      <c r="G70" s="49" t="s">
        <v>112</v>
      </c>
      <c r="H70" s="80">
        <v>45953.0</v>
      </c>
      <c r="I70" s="80">
        <v>45954.0</v>
      </c>
      <c r="J70" s="47"/>
      <c r="K70" s="49" t="s">
        <v>14</v>
      </c>
      <c r="L70" s="65"/>
      <c r="M70" s="73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43"/>
      <c r="AP70" s="43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3"/>
      <c r="CE70" s="54"/>
      <c r="CF70" s="4"/>
      <c r="CG70" s="4"/>
      <c r="CH70" s="4"/>
      <c r="CI70" s="55"/>
      <c r="CJ70" s="54"/>
      <c r="CK70" s="4"/>
      <c r="CL70" s="4"/>
      <c r="CM70" s="4"/>
      <c r="CN70" s="55"/>
      <c r="CO70" s="54"/>
      <c r="CP70" s="4"/>
      <c r="CQ70" s="4"/>
      <c r="CR70" s="4"/>
      <c r="CS70" s="55"/>
      <c r="CT70" s="54"/>
      <c r="CU70" s="4"/>
      <c r="CV70" s="4"/>
      <c r="CW70" s="4"/>
      <c r="CX70" s="55"/>
      <c r="CY70" s="54"/>
      <c r="CZ70" s="4"/>
      <c r="DA70" s="4"/>
      <c r="DB70" s="4"/>
      <c r="DC70" s="55"/>
      <c r="DD70" s="54"/>
      <c r="DE70" s="4"/>
      <c r="DF70" s="4"/>
      <c r="DG70" s="4"/>
      <c r="DH70" s="55"/>
      <c r="DI70" s="54"/>
      <c r="DJ70" s="4"/>
      <c r="DK70" s="4"/>
      <c r="DL70" s="4"/>
      <c r="DM70" s="55"/>
      <c r="DN70" s="54"/>
      <c r="DO70" s="4"/>
      <c r="DP70" s="4"/>
    </row>
    <row r="71">
      <c r="A71" s="56"/>
      <c r="B71" s="56"/>
      <c r="C71" s="26"/>
      <c r="D71" s="66" t="s">
        <v>125</v>
      </c>
      <c r="E71" s="79"/>
      <c r="F71" s="79"/>
      <c r="G71" s="49" t="s">
        <v>112</v>
      </c>
      <c r="H71" s="80">
        <v>45952.0</v>
      </c>
      <c r="I71" s="80">
        <v>45953.0</v>
      </c>
      <c r="J71" s="47"/>
      <c r="K71" s="49" t="s">
        <v>14</v>
      </c>
      <c r="L71" s="65"/>
      <c r="M71" s="73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43"/>
      <c r="AO71" s="43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3"/>
      <c r="CE71" s="54"/>
      <c r="CF71" s="4"/>
      <c r="CG71" s="4"/>
      <c r="CH71" s="4"/>
      <c r="CI71" s="55"/>
      <c r="CJ71" s="54"/>
      <c r="CK71" s="4"/>
      <c r="CL71" s="4"/>
      <c r="CM71" s="4"/>
      <c r="CN71" s="55"/>
      <c r="CO71" s="54"/>
      <c r="CP71" s="4"/>
      <c r="CQ71" s="4"/>
      <c r="CR71" s="4"/>
      <c r="CS71" s="55"/>
      <c r="CT71" s="54"/>
      <c r="CU71" s="4"/>
      <c r="CV71" s="4"/>
      <c r="CW71" s="4"/>
      <c r="CX71" s="55"/>
      <c r="CY71" s="54"/>
      <c r="CZ71" s="4"/>
      <c r="DA71" s="4"/>
      <c r="DB71" s="4"/>
      <c r="DC71" s="55"/>
      <c r="DD71" s="54"/>
      <c r="DE71" s="4"/>
      <c r="DF71" s="4"/>
      <c r="DG71" s="4"/>
      <c r="DH71" s="55"/>
      <c r="DI71" s="54"/>
      <c r="DJ71" s="4"/>
      <c r="DK71" s="4"/>
      <c r="DL71" s="4"/>
      <c r="DM71" s="55"/>
      <c r="DN71" s="54"/>
      <c r="DO71" s="4"/>
      <c r="DP71" s="4"/>
    </row>
    <row r="72">
      <c r="A72" s="56"/>
      <c r="B72" s="56"/>
      <c r="C72" s="90" t="s">
        <v>126</v>
      </c>
      <c r="D72" s="66" t="s">
        <v>127</v>
      </c>
      <c r="E72" s="79"/>
      <c r="F72" s="79"/>
      <c r="G72" s="49" t="s">
        <v>107</v>
      </c>
      <c r="H72" s="80">
        <v>45953.0</v>
      </c>
      <c r="I72" s="80">
        <v>45953.0</v>
      </c>
      <c r="J72" s="47"/>
      <c r="K72" s="47"/>
      <c r="L72" s="65"/>
      <c r="M72" s="73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43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3"/>
      <c r="CE72" s="54"/>
      <c r="CF72" s="4"/>
      <c r="CG72" s="4"/>
      <c r="CH72" s="4"/>
      <c r="CI72" s="55"/>
      <c r="CJ72" s="54"/>
      <c r="CK72" s="4"/>
      <c r="CL72" s="4"/>
      <c r="CM72" s="4"/>
      <c r="CN72" s="55"/>
      <c r="CO72" s="54"/>
      <c r="CP72" s="4"/>
      <c r="CQ72" s="4"/>
      <c r="CR72" s="4"/>
      <c r="CS72" s="55"/>
      <c r="CT72" s="54"/>
      <c r="CU72" s="4"/>
      <c r="CV72" s="4"/>
      <c r="CW72" s="4"/>
      <c r="CX72" s="55"/>
      <c r="CY72" s="54"/>
      <c r="CZ72" s="4"/>
      <c r="DA72" s="4"/>
      <c r="DB72" s="4"/>
      <c r="DC72" s="55"/>
      <c r="DD72" s="54"/>
      <c r="DE72" s="4"/>
      <c r="DF72" s="4"/>
      <c r="DG72" s="4"/>
      <c r="DH72" s="55"/>
      <c r="DI72" s="54"/>
      <c r="DJ72" s="4"/>
      <c r="DK72" s="4"/>
      <c r="DL72" s="4"/>
      <c r="DM72" s="55"/>
      <c r="DN72" s="54"/>
      <c r="DO72" s="4"/>
      <c r="DP72" s="4"/>
    </row>
    <row r="73">
      <c r="A73" s="56"/>
      <c r="B73" s="56"/>
      <c r="C73" s="56"/>
      <c r="D73" s="66" t="s">
        <v>128</v>
      </c>
      <c r="E73" s="79"/>
      <c r="F73" s="79"/>
      <c r="G73" s="49" t="s">
        <v>107</v>
      </c>
      <c r="H73" s="86"/>
      <c r="I73" s="86"/>
      <c r="J73" s="47"/>
      <c r="K73" s="47"/>
      <c r="L73" s="65"/>
      <c r="M73" s="73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3"/>
      <c r="CE73" s="54"/>
      <c r="CF73" s="4"/>
      <c r="CG73" s="4"/>
      <c r="CH73" s="4"/>
      <c r="CI73" s="55"/>
      <c r="CJ73" s="54"/>
      <c r="CK73" s="4"/>
      <c r="CL73" s="4"/>
      <c r="CM73" s="4"/>
      <c r="CN73" s="55"/>
      <c r="CO73" s="54"/>
      <c r="CP73" s="4"/>
      <c r="CQ73" s="4"/>
      <c r="CR73" s="4"/>
      <c r="CS73" s="55"/>
      <c r="CT73" s="54"/>
      <c r="CU73" s="4"/>
      <c r="CV73" s="4"/>
      <c r="CW73" s="4"/>
      <c r="CX73" s="55"/>
      <c r="CY73" s="54"/>
      <c r="CZ73" s="4"/>
      <c r="DA73" s="4"/>
      <c r="DB73" s="4"/>
      <c r="DC73" s="55"/>
      <c r="DD73" s="54"/>
      <c r="DE73" s="4"/>
      <c r="DF73" s="4"/>
      <c r="DG73" s="4"/>
      <c r="DH73" s="55"/>
      <c r="DI73" s="54"/>
      <c r="DJ73" s="4"/>
      <c r="DK73" s="4"/>
      <c r="DL73" s="4"/>
      <c r="DM73" s="55"/>
      <c r="DN73" s="54"/>
      <c r="DO73" s="4"/>
      <c r="DP73" s="4"/>
    </row>
    <row r="74">
      <c r="A74" s="56"/>
      <c r="B74" s="56"/>
      <c r="C74" s="26"/>
      <c r="D74" s="66" t="s">
        <v>129</v>
      </c>
      <c r="E74" s="79"/>
      <c r="F74" s="79"/>
      <c r="G74" s="49" t="s">
        <v>107</v>
      </c>
      <c r="H74" s="86"/>
      <c r="I74" s="86"/>
      <c r="J74" s="47"/>
      <c r="K74" s="47"/>
      <c r="L74" s="65"/>
      <c r="M74" s="73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3"/>
      <c r="CE74" s="54"/>
      <c r="CF74" s="4"/>
      <c r="CG74" s="4"/>
      <c r="CH74" s="4"/>
      <c r="CI74" s="55"/>
      <c r="CJ74" s="54"/>
      <c r="CK74" s="4"/>
      <c r="CL74" s="4"/>
      <c r="CM74" s="4"/>
      <c r="CN74" s="55"/>
      <c r="CO74" s="54"/>
      <c r="CP74" s="4"/>
      <c r="CQ74" s="4"/>
      <c r="CR74" s="4"/>
      <c r="CS74" s="55"/>
      <c r="CT74" s="54"/>
      <c r="CU74" s="4"/>
      <c r="CV74" s="4"/>
      <c r="CW74" s="4"/>
      <c r="CX74" s="55"/>
      <c r="CY74" s="54"/>
      <c r="CZ74" s="4"/>
      <c r="DA74" s="4"/>
      <c r="DB74" s="4"/>
      <c r="DC74" s="55"/>
      <c r="DD74" s="54"/>
      <c r="DE74" s="4"/>
      <c r="DF74" s="4"/>
      <c r="DG74" s="4"/>
      <c r="DH74" s="55"/>
      <c r="DI74" s="54"/>
      <c r="DJ74" s="4"/>
      <c r="DK74" s="4"/>
      <c r="DL74" s="4"/>
      <c r="DM74" s="55"/>
      <c r="DN74" s="54"/>
      <c r="DO74" s="4"/>
      <c r="DP74" s="4"/>
    </row>
    <row r="75">
      <c r="A75" s="56"/>
      <c r="B75" s="56"/>
      <c r="C75" s="90" t="s">
        <v>130</v>
      </c>
      <c r="D75" s="66" t="s">
        <v>130</v>
      </c>
      <c r="E75" s="79"/>
      <c r="F75" s="79"/>
      <c r="G75" s="49" t="s">
        <v>112</v>
      </c>
      <c r="H75" s="80">
        <v>45951.0</v>
      </c>
      <c r="I75" s="80">
        <v>45952.0</v>
      </c>
      <c r="J75" s="47"/>
      <c r="K75" s="49" t="s">
        <v>14</v>
      </c>
      <c r="L75" s="65"/>
      <c r="M75" s="73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43"/>
      <c r="AN75" s="43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3"/>
      <c r="CE75" s="54"/>
      <c r="CF75" s="4"/>
      <c r="CG75" s="4"/>
      <c r="CH75" s="4"/>
      <c r="CI75" s="55"/>
      <c r="CJ75" s="54"/>
      <c r="CK75" s="4"/>
      <c r="CL75" s="4"/>
      <c r="CM75" s="4"/>
      <c r="CN75" s="55"/>
      <c r="CO75" s="54"/>
      <c r="CP75" s="4"/>
      <c r="CQ75" s="4"/>
      <c r="CR75" s="4"/>
      <c r="CS75" s="55"/>
      <c r="CT75" s="54"/>
      <c r="CU75" s="4"/>
      <c r="CV75" s="4"/>
      <c r="CW75" s="4"/>
      <c r="CX75" s="55"/>
      <c r="CY75" s="54"/>
      <c r="CZ75" s="4"/>
      <c r="DA75" s="4"/>
      <c r="DB75" s="4"/>
      <c r="DC75" s="55"/>
      <c r="DD75" s="54"/>
      <c r="DE75" s="4"/>
      <c r="DF75" s="4"/>
      <c r="DG75" s="4"/>
      <c r="DH75" s="55"/>
      <c r="DI75" s="54"/>
      <c r="DJ75" s="4"/>
      <c r="DK75" s="4"/>
      <c r="DL75" s="4"/>
      <c r="DM75" s="55"/>
      <c r="DN75" s="54"/>
      <c r="DO75" s="4"/>
      <c r="DP75" s="4"/>
    </row>
    <row r="76">
      <c r="A76" s="56"/>
      <c r="B76" s="56"/>
      <c r="C76" s="56"/>
      <c r="D76" s="66" t="s">
        <v>131</v>
      </c>
      <c r="E76" s="79"/>
      <c r="F76" s="79"/>
      <c r="G76" s="49" t="s">
        <v>112</v>
      </c>
      <c r="H76" s="80">
        <v>45951.0</v>
      </c>
      <c r="I76" s="80">
        <v>45952.0</v>
      </c>
      <c r="J76" s="47"/>
      <c r="K76" s="49" t="s">
        <v>14</v>
      </c>
      <c r="L76" s="65"/>
      <c r="M76" s="73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43"/>
      <c r="AN76" s="43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3"/>
      <c r="CE76" s="54"/>
      <c r="CF76" s="4"/>
      <c r="CG76" s="4"/>
      <c r="CH76" s="4"/>
      <c r="CI76" s="55"/>
      <c r="CJ76" s="54"/>
      <c r="CK76" s="4"/>
      <c r="CL76" s="4"/>
      <c r="CM76" s="4"/>
      <c r="CN76" s="55"/>
      <c r="CO76" s="54"/>
      <c r="CP76" s="4"/>
      <c r="CQ76" s="4"/>
      <c r="CR76" s="4"/>
      <c r="CS76" s="55"/>
      <c r="CT76" s="54"/>
      <c r="CU76" s="4"/>
      <c r="CV76" s="4"/>
      <c r="CW76" s="4"/>
      <c r="CX76" s="55"/>
      <c r="CY76" s="54"/>
      <c r="CZ76" s="4"/>
      <c r="DA76" s="4"/>
      <c r="DB76" s="4"/>
      <c r="DC76" s="55"/>
      <c r="DD76" s="54"/>
      <c r="DE76" s="4"/>
      <c r="DF76" s="4"/>
      <c r="DG76" s="4"/>
      <c r="DH76" s="55"/>
      <c r="DI76" s="54"/>
      <c r="DJ76" s="4"/>
      <c r="DK76" s="4"/>
      <c r="DL76" s="4"/>
      <c r="DM76" s="55"/>
      <c r="DN76" s="54"/>
      <c r="DO76" s="4"/>
      <c r="DP76" s="4"/>
    </row>
    <row r="77">
      <c r="A77" s="56"/>
      <c r="B77" s="26"/>
      <c r="C77" s="26"/>
      <c r="D77" s="66" t="s">
        <v>132</v>
      </c>
      <c r="E77" s="79"/>
      <c r="F77" s="79"/>
      <c r="G77" s="49" t="s">
        <v>112</v>
      </c>
      <c r="H77" s="80">
        <v>45951.0</v>
      </c>
      <c r="I77" s="80">
        <v>45952.0</v>
      </c>
      <c r="J77" s="47"/>
      <c r="K77" s="49" t="s">
        <v>14</v>
      </c>
      <c r="L77" s="65"/>
      <c r="M77" s="73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43"/>
      <c r="AN77" s="43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3"/>
      <c r="CE77" s="54"/>
      <c r="CF77" s="4"/>
      <c r="CG77" s="4"/>
      <c r="CH77" s="4"/>
      <c r="CI77" s="55"/>
      <c r="CJ77" s="54"/>
      <c r="CK77" s="4"/>
      <c r="CL77" s="4"/>
      <c r="CM77" s="4"/>
      <c r="CN77" s="55"/>
      <c r="CO77" s="54"/>
      <c r="CP77" s="4"/>
      <c r="CQ77" s="4"/>
      <c r="CR77" s="4"/>
      <c r="CS77" s="55"/>
      <c r="CT77" s="54"/>
      <c r="CU77" s="4"/>
      <c r="CV77" s="4"/>
      <c r="CW77" s="4"/>
      <c r="CX77" s="55"/>
      <c r="CY77" s="54"/>
      <c r="CZ77" s="4"/>
      <c r="DA77" s="4"/>
      <c r="DB77" s="4"/>
      <c r="DC77" s="55"/>
      <c r="DD77" s="54"/>
      <c r="DE77" s="4"/>
      <c r="DF77" s="4"/>
      <c r="DG77" s="4"/>
      <c r="DH77" s="55"/>
      <c r="DI77" s="54"/>
      <c r="DJ77" s="4"/>
      <c r="DK77" s="4"/>
      <c r="DL77" s="4"/>
      <c r="DM77" s="55"/>
      <c r="DN77" s="54"/>
      <c r="DO77" s="4"/>
      <c r="DP77" s="4"/>
    </row>
    <row r="78">
      <c r="A78" s="26"/>
      <c r="B78" s="91"/>
      <c r="C78" s="2"/>
      <c r="D78" s="2"/>
      <c r="E78" s="79"/>
      <c r="F78" s="79"/>
      <c r="G78" s="47"/>
      <c r="H78" s="86"/>
      <c r="I78" s="86"/>
      <c r="J78" s="47"/>
      <c r="K78" s="47"/>
      <c r="L78" s="65"/>
      <c r="M78" s="73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3"/>
      <c r="CE78" s="54"/>
      <c r="CF78" s="4"/>
      <c r="CG78" s="4"/>
      <c r="CH78" s="4"/>
      <c r="CI78" s="55"/>
      <c r="CJ78" s="54"/>
      <c r="CK78" s="4"/>
      <c r="CL78" s="4"/>
      <c r="CM78" s="4"/>
      <c r="CN78" s="55"/>
      <c r="CO78" s="54"/>
      <c r="CP78" s="4"/>
      <c r="CQ78" s="4"/>
      <c r="CR78" s="4"/>
      <c r="CS78" s="55"/>
      <c r="CT78" s="54"/>
      <c r="CU78" s="4"/>
      <c r="CV78" s="4"/>
      <c r="CW78" s="4"/>
      <c r="CX78" s="55"/>
      <c r="CY78" s="54"/>
      <c r="CZ78" s="4"/>
      <c r="DA78" s="4"/>
      <c r="DB78" s="4"/>
      <c r="DC78" s="55"/>
      <c r="DD78" s="54"/>
      <c r="DE78" s="4"/>
      <c r="DF78" s="4"/>
      <c r="DG78" s="4"/>
      <c r="DH78" s="55"/>
      <c r="DI78" s="54"/>
      <c r="DJ78" s="4"/>
      <c r="DK78" s="4"/>
      <c r="DL78" s="4"/>
      <c r="DM78" s="55"/>
      <c r="DN78" s="54"/>
      <c r="DO78" s="4"/>
      <c r="DP78" s="4"/>
    </row>
    <row r="79">
      <c r="A79" s="34" t="s">
        <v>133</v>
      </c>
      <c r="B79" s="35"/>
      <c r="C79" s="35"/>
      <c r="D79" s="36"/>
      <c r="E79" s="36"/>
      <c r="F79" s="37"/>
      <c r="G79" s="38"/>
      <c r="H79" s="39">
        <v>45958.0</v>
      </c>
      <c r="I79" s="39">
        <v>45961.0</v>
      </c>
      <c r="J79" s="36" t="str">
        <f t="shared" ref="J79:J80" si="27">IF(C79="","",NETWORKDAYS(H79,I79,Filter!D$2:D1000))</f>
        <v/>
      </c>
      <c r="K79" s="47"/>
      <c r="L79" s="41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3"/>
      <c r="AS79" s="43"/>
      <c r="AT79" s="43"/>
      <c r="AU79" s="43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</row>
    <row r="80">
      <c r="A80" s="44" t="s">
        <v>134</v>
      </c>
      <c r="B80" s="72" t="s">
        <v>28</v>
      </c>
      <c r="C80" s="46" t="s">
        <v>135</v>
      </c>
      <c r="D80" s="78" t="s">
        <v>136</v>
      </c>
      <c r="E80" s="79"/>
      <c r="F80" s="88"/>
      <c r="G80" s="69" t="s">
        <v>18</v>
      </c>
      <c r="H80" s="89">
        <v>45958.0</v>
      </c>
      <c r="I80" s="89">
        <v>45961.0</v>
      </c>
      <c r="J80" s="49" t="str">
        <f t="shared" si="27"/>
        <v>#REF!</v>
      </c>
      <c r="K80" s="69" t="s">
        <v>101</v>
      </c>
      <c r="L80" s="81"/>
      <c r="M80" s="73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43"/>
      <c r="AS80" s="43"/>
      <c r="AT80" s="43"/>
      <c r="AU80" s="43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82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</row>
    <row r="81">
      <c r="A81" s="56"/>
      <c r="B81" s="26"/>
      <c r="C81" s="46" t="s">
        <v>137</v>
      </c>
      <c r="D81" s="78" t="s">
        <v>138</v>
      </c>
      <c r="E81" s="79"/>
      <c r="F81" s="79"/>
      <c r="G81" s="49" t="s">
        <v>64</v>
      </c>
      <c r="H81" s="86"/>
      <c r="I81" s="86"/>
      <c r="J81" s="47"/>
      <c r="K81" s="49" t="s">
        <v>14</v>
      </c>
      <c r="L81" s="81"/>
      <c r="M81" s="73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82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</row>
    <row r="82">
      <c r="A82" s="56"/>
      <c r="B82" s="91"/>
      <c r="C82" s="2"/>
      <c r="D82" s="85"/>
      <c r="E82" s="79"/>
      <c r="F82" s="79"/>
      <c r="G82" s="47"/>
      <c r="H82" s="86"/>
      <c r="I82" s="86"/>
      <c r="J82" s="47"/>
      <c r="K82" s="47"/>
      <c r="L82" s="81"/>
      <c r="M82" s="73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82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</row>
    <row r="83">
      <c r="A83" s="56"/>
      <c r="B83" s="72" t="s">
        <v>139</v>
      </c>
      <c r="C83" s="46" t="s">
        <v>80</v>
      </c>
      <c r="D83" s="78" t="s">
        <v>140</v>
      </c>
      <c r="E83" s="79"/>
      <c r="F83" s="79"/>
      <c r="G83" s="49" t="s">
        <v>64</v>
      </c>
      <c r="H83" s="80">
        <v>45958.0</v>
      </c>
      <c r="I83" s="80">
        <v>45960.0</v>
      </c>
      <c r="J83" s="49" t="str">
        <f t="shared" ref="J83:J92" si="28">IF(C83="","",NETWORKDAYS(H83,I83,Filter!D$2:D1000))</f>
        <v>#REF!</v>
      </c>
      <c r="K83" s="49" t="s">
        <v>14</v>
      </c>
      <c r="L83" s="65"/>
      <c r="M83" s="73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43"/>
      <c r="AS83" s="43"/>
      <c r="AT83" s="43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3"/>
      <c r="CE83" s="54"/>
      <c r="CF83" s="4"/>
      <c r="CG83" s="4"/>
      <c r="CH83" s="4"/>
      <c r="CI83" s="55"/>
      <c r="CJ83" s="54"/>
      <c r="CK83" s="4"/>
      <c r="CL83" s="4"/>
      <c r="CM83" s="4"/>
      <c r="CN83" s="55"/>
      <c r="CO83" s="54"/>
      <c r="CP83" s="4"/>
      <c r="CQ83" s="4"/>
      <c r="CR83" s="4"/>
      <c r="CS83" s="55"/>
      <c r="CT83" s="54"/>
      <c r="CU83" s="4"/>
      <c r="CV83" s="4"/>
      <c r="CW83" s="4"/>
      <c r="CX83" s="55"/>
      <c r="CY83" s="54"/>
      <c r="CZ83" s="4"/>
      <c r="DA83" s="4"/>
      <c r="DB83" s="4"/>
      <c r="DC83" s="55"/>
      <c r="DD83" s="54"/>
      <c r="DE83" s="4"/>
      <c r="DF83" s="4"/>
      <c r="DG83" s="4"/>
      <c r="DH83" s="55"/>
      <c r="DI83" s="54"/>
      <c r="DJ83" s="4"/>
      <c r="DK83" s="4"/>
      <c r="DL83" s="4"/>
      <c r="DM83" s="55"/>
      <c r="DN83" s="54"/>
      <c r="DO83" s="4"/>
      <c r="DP83" s="4"/>
    </row>
    <row r="84">
      <c r="A84" s="56"/>
      <c r="B84" s="56"/>
      <c r="C84" s="60" t="s">
        <v>141</v>
      </c>
      <c r="D84" s="78" t="s">
        <v>142</v>
      </c>
      <c r="E84" s="79"/>
      <c r="F84" s="79"/>
      <c r="G84" s="49" t="s">
        <v>143</v>
      </c>
      <c r="H84" s="80">
        <v>45958.0</v>
      </c>
      <c r="I84" s="80">
        <v>45961.0</v>
      </c>
      <c r="J84" s="49" t="str">
        <f t="shared" si="28"/>
        <v>#REF!</v>
      </c>
      <c r="K84" s="49" t="s">
        <v>14</v>
      </c>
      <c r="L84" s="65"/>
      <c r="M84" s="73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43"/>
      <c r="AS84" s="43"/>
      <c r="AT84" s="43"/>
      <c r="AU84" s="43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3"/>
      <c r="CE84" s="54"/>
      <c r="CF84" s="4"/>
      <c r="CG84" s="4"/>
      <c r="CH84" s="4"/>
      <c r="CI84" s="55"/>
      <c r="CJ84" s="54"/>
      <c r="CK84" s="4"/>
      <c r="CL84" s="4"/>
      <c r="CM84" s="4"/>
      <c r="CN84" s="55"/>
      <c r="CO84" s="54"/>
      <c r="CP84" s="4"/>
      <c r="CQ84" s="4"/>
      <c r="CR84" s="4"/>
      <c r="CS84" s="55"/>
      <c r="CT84" s="54"/>
      <c r="CU84" s="4"/>
      <c r="CV84" s="4"/>
      <c r="CW84" s="4"/>
      <c r="CX84" s="55"/>
      <c r="CY84" s="54"/>
      <c r="CZ84" s="4"/>
      <c r="DA84" s="4"/>
      <c r="DB84" s="4"/>
      <c r="DC84" s="55"/>
      <c r="DD84" s="54"/>
      <c r="DE84" s="4"/>
      <c r="DF84" s="4"/>
      <c r="DG84" s="4"/>
      <c r="DH84" s="55"/>
      <c r="DI84" s="54"/>
      <c r="DJ84" s="4"/>
      <c r="DK84" s="4"/>
      <c r="DL84" s="4"/>
      <c r="DM84" s="55"/>
      <c r="DN84" s="54"/>
      <c r="DO84" s="4"/>
      <c r="DP84" s="4"/>
    </row>
    <row r="85">
      <c r="A85" s="56"/>
      <c r="B85" s="56"/>
      <c r="C85" s="26"/>
      <c r="D85" s="78" t="s">
        <v>144</v>
      </c>
      <c r="E85" s="79"/>
      <c r="F85" s="79"/>
      <c r="G85" s="49" t="s">
        <v>145</v>
      </c>
      <c r="H85" s="80">
        <v>45958.0</v>
      </c>
      <c r="I85" s="80">
        <v>45961.0</v>
      </c>
      <c r="J85" s="47" t="str">
        <f t="shared" si="28"/>
        <v/>
      </c>
      <c r="K85" s="49" t="s">
        <v>14</v>
      </c>
      <c r="L85" s="65"/>
      <c r="M85" s="73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43"/>
      <c r="AS85" s="43"/>
      <c r="AT85" s="43"/>
      <c r="AU85" s="43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3"/>
      <c r="CE85" s="54"/>
      <c r="CF85" s="4"/>
      <c r="CG85" s="4"/>
      <c r="CH85" s="4"/>
      <c r="CI85" s="55"/>
      <c r="CJ85" s="54"/>
      <c r="CK85" s="4"/>
      <c r="CL85" s="4"/>
      <c r="CM85" s="4"/>
      <c r="CN85" s="55"/>
      <c r="CO85" s="54"/>
      <c r="CP85" s="4"/>
      <c r="CQ85" s="4"/>
      <c r="CR85" s="4"/>
      <c r="CS85" s="55"/>
      <c r="CT85" s="54"/>
      <c r="CU85" s="4"/>
      <c r="CV85" s="4"/>
      <c r="CW85" s="4"/>
      <c r="CX85" s="55"/>
      <c r="CY85" s="54"/>
      <c r="CZ85" s="4"/>
      <c r="DA85" s="4"/>
      <c r="DB85" s="4"/>
      <c r="DC85" s="55"/>
      <c r="DD85" s="54"/>
      <c r="DE85" s="4"/>
      <c r="DF85" s="4"/>
      <c r="DG85" s="4"/>
      <c r="DH85" s="55"/>
      <c r="DI85" s="54"/>
      <c r="DJ85" s="4"/>
      <c r="DK85" s="4"/>
      <c r="DL85" s="4"/>
      <c r="DM85" s="55"/>
      <c r="DN85" s="54"/>
      <c r="DO85" s="4"/>
      <c r="DP85" s="4"/>
    </row>
    <row r="86">
      <c r="A86" s="56"/>
      <c r="B86" s="56"/>
      <c r="C86" s="60" t="s">
        <v>86</v>
      </c>
      <c r="D86" s="78" t="s">
        <v>146</v>
      </c>
      <c r="E86" s="79"/>
      <c r="F86" s="79"/>
      <c r="G86" s="49" t="s">
        <v>47</v>
      </c>
      <c r="H86" s="80">
        <v>45958.0</v>
      </c>
      <c r="I86" s="80">
        <v>45961.0</v>
      </c>
      <c r="J86" s="49" t="str">
        <f t="shared" si="28"/>
        <v>#REF!</v>
      </c>
      <c r="K86" s="49" t="s">
        <v>14</v>
      </c>
      <c r="L86" s="65"/>
      <c r="M86" s="73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43"/>
      <c r="AS86" s="43"/>
      <c r="AT86" s="43"/>
      <c r="AU86" s="43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3"/>
      <c r="CE86" s="54"/>
      <c r="CF86" s="4"/>
      <c r="CG86" s="4"/>
      <c r="CH86" s="4"/>
      <c r="CI86" s="55"/>
      <c r="CJ86" s="54"/>
      <c r="CK86" s="4"/>
      <c r="CL86" s="4"/>
      <c r="CM86" s="4"/>
      <c r="CN86" s="55"/>
      <c r="CO86" s="54"/>
      <c r="CP86" s="4"/>
      <c r="CQ86" s="4"/>
      <c r="CR86" s="4"/>
      <c r="CS86" s="55"/>
      <c r="CT86" s="54"/>
      <c r="CU86" s="4"/>
      <c r="CV86" s="4"/>
      <c r="CW86" s="4"/>
      <c r="CX86" s="55"/>
      <c r="CY86" s="54"/>
      <c r="CZ86" s="4"/>
      <c r="DA86" s="4"/>
      <c r="DB86" s="4"/>
      <c r="DC86" s="55"/>
      <c r="DD86" s="54"/>
      <c r="DE86" s="4"/>
      <c r="DF86" s="4"/>
      <c r="DG86" s="4"/>
      <c r="DH86" s="55"/>
      <c r="DI86" s="54"/>
      <c r="DJ86" s="4"/>
      <c r="DK86" s="4"/>
      <c r="DL86" s="4"/>
      <c r="DM86" s="55"/>
      <c r="DN86" s="54"/>
      <c r="DO86" s="4"/>
      <c r="DP86" s="4"/>
    </row>
    <row r="87">
      <c r="A87" s="56"/>
      <c r="B87" s="56"/>
      <c r="C87" s="56"/>
      <c r="D87" s="78" t="s">
        <v>147</v>
      </c>
      <c r="E87" s="79"/>
      <c r="F87" s="79"/>
      <c r="G87" s="49" t="s">
        <v>64</v>
      </c>
      <c r="H87" s="80">
        <v>45959.0</v>
      </c>
      <c r="I87" s="80">
        <v>45961.0</v>
      </c>
      <c r="J87" s="47" t="str">
        <f t="shared" si="28"/>
        <v/>
      </c>
      <c r="K87" s="49" t="s">
        <v>14</v>
      </c>
      <c r="L87" s="65"/>
      <c r="M87" s="73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43"/>
      <c r="AT87" s="43"/>
      <c r="AU87" s="43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3"/>
      <c r="CE87" s="54"/>
      <c r="CF87" s="4"/>
      <c r="CG87" s="4"/>
      <c r="CH87" s="4"/>
      <c r="CI87" s="55"/>
      <c r="CJ87" s="54"/>
      <c r="CK87" s="4"/>
      <c r="CL87" s="4"/>
      <c r="CM87" s="4"/>
      <c r="CN87" s="55"/>
      <c r="CO87" s="54"/>
      <c r="CP87" s="4"/>
      <c r="CQ87" s="4"/>
      <c r="CR87" s="4"/>
      <c r="CS87" s="55"/>
      <c r="CT87" s="54"/>
      <c r="CU87" s="4"/>
      <c r="CV87" s="4"/>
      <c r="CW87" s="4"/>
      <c r="CX87" s="55"/>
      <c r="CY87" s="54"/>
      <c r="CZ87" s="4"/>
      <c r="DA87" s="4"/>
      <c r="DB87" s="4"/>
      <c r="DC87" s="55"/>
      <c r="DD87" s="54"/>
      <c r="DE87" s="4"/>
      <c r="DF87" s="4"/>
      <c r="DG87" s="4"/>
      <c r="DH87" s="55"/>
      <c r="DI87" s="54"/>
      <c r="DJ87" s="4"/>
      <c r="DK87" s="4"/>
      <c r="DL87" s="4"/>
      <c r="DM87" s="55"/>
      <c r="DN87" s="54"/>
      <c r="DO87" s="4"/>
      <c r="DP87" s="4"/>
    </row>
    <row r="88">
      <c r="A88" s="56"/>
      <c r="B88" s="56"/>
      <c r="C88" s="56"/>
      <c r="D88" s="78" t="s">
        <v>148</v>
      </c>
      <c r="E88" s="79"/>
      <c r="F88" s="79"/>
      <c r="G88" s="49" t="s">
        <v>37</v>
      </c>
      <c r="H88" s="86"/>
      <c r="I88" s="86"/>
      <c r="J88" s="47" t="str">
        <f t="shared" si="28"/>
        <v/>
      </c>
      <c r="K88" s="49" t="s">
        <v>14</v>
      </c>
      <c r="L88" s="65"/>
      <c r="M88" s="73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3"/>
      <c r="CE88" s="54"/>
      <c r="CF88" s="4"/>
      <c r="CG88" s="4"/>
      <c r="CH88" s="4"/>
      <c r="CI88" s="55"/>
      <c r="CJ88" s="54"/>
      <c r="CK88" s="4"/>
      <c r="CL88" s="4"/>
      <c r="CM88" s="4"/>
      <c r="CN88" s="55"/>
      <c r="CO88" s="54"/>
      <c r="CP88" s="4"/>
      <c r="CQ88" s="4"/>
      <c r="CR88" s="4"/>
      <c r="CS88" s="55"/>
      <c r="CT88" s="54"/>
      <c r="CU88" s="4"/>
      <c r="CV88" s="4"/>
      <c r="CW88" s="4"/>
      <c r="CX88" s="55"/>
      <c r="CY88" s="54"/>
      <c r="CZ88" s="4"/>
      <c r="DA88" s="4"/>
      <c r="DB88" s="4"/>
      <c r="DC88" s="55"/>
      <c r="DD88" s="54"/>
      <c r="DE88" s="4"/>
      <c r="DF88" s="4"/>
      <c r="DG88" s="4"/>
      <c r="DH88" s="55"/>
      <c r="DI88" s="54"/>
      <c r="DJ88" s="4"/>
      <c r="DK88" s="4"/>
      <c r="DL88" s="4"/>
      <c r="DM88" s="55"/>
      <c r="DN88" s="54"/>
      <c r="DO88" s="4"/>
      <c r="DP88" s="4"/>
    </row>
    <row r="89">
      <c r="A89" s="56"/>
      <c r="B89" s="56"/>
      <c r="C89" s="56"/>
      <c r="D89" s="78" t="s">
        <v>149</v>
      </c>
      <c r="E89" s="79"/>
      <c r="F89" s="79"/>
      <c r="G89" s="49" t="s">
        <v>150</v>
      </c>
      <c r="H89" s="80">
        <v>45960.0</v>
      </c>
      <c r="I89" s="80">
        <v>45961.0</v>
      </c>
      <c r="J89" s="47" t="str">
        <f t="shared" si="28"/>
        <v/>
      </c>
      <c r="K89" s="49" t="s">
        <v>14</v>
      </c>
      <c r="L89" s="65"/>
      <c r="M89" s="73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43"/>
      <c r="AU89" s="43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3"/>
      <c r="CE89" s="54"/>
      <c r="CF89" s="4"/>
      <c r="CG89" s="4"/>
      <c r="CH89" s="4"/>
      <c r="CI89" s="55"/>
      <c r="CJ89" s="54"/>
      <c r="CK89" s="4"/>
      <c r="CL89" s="4"/>
      <c r="CM89" s="4"/>
      <c r="CN89" s="55"/>
      <c r="CO89" s="54"/>
      <c r="CP89" s="4"/>
      <c r="CQ89" s="4"/>
      <c r="CR89" s="4"/>
      <c r="CS89" s="55"/>
      <c r="CT89" s="54"/>
      <c r="CU89" s="4"/>
      <c r="CV89" s="4"/>
      <c r="CW89" s="4"/>
      <c r="CX89" s="55"/>
      <c r="CY89" s="54"/>
      <c r="CZ89" s="4"/>
      <c r="DA89" s="4"/>
      <c r="DB89" s="4"/>
      <c r="DC89" s="55"/>
      <c r="DD89" s="54"/>
      <c r="DE89" s="4"/>
      <c r="DF89" s="4"/>
      <c r="DG89" s="4"/>
      <c r="DH89" s="55"/>
      <c r="DI89" s="54"/>
      <c r="DJ89" s="4"/>
      <c r="DK89" s="4"/>
      <c r="DL89" s="4"/>
      <c r="DM89" s="55"/>
      <c r="DN89" s="54"/>
      <c r="DO89" s="4"/>
      <c r="DP89" s="4"/>
    </row>
    <row r="90">
      <c r="A90" s="56"/>
      <c r="B90" s="56"/>
      <c r="C90" s="26"/>
      <c r="D90" s="78" t="s">
        <v>151</v>
      </c>
      <c r="E90" s="79"/>
      <c r="F90" s="79"/>
      <c r="G90" s="49" t="s">
        <v>47</v>
      </c>
      <c r="H90" s="80">
        <v>45959.0</v>
      </c>
      <c r="I90" s="80">
        <v>45961.0</v>
      </c>
      <c r="J90" s="47" t="str">
        <f t="shared" si="28"/>
        <v/>
      </c>
      <c r="K90" s="49" t="s">
        <v>14</v>
      </c>
      <c r="L90" s="65"/>
      <c r="M90" s="73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43"/>
      <c r="AT90" s="43"/>
      <c r="AU90" s="43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3"/>
      <c r="CE90" s="54"/>
      <c r="CF90" s="4"/>
      <c r="CG90" s="4"/>
      <c r="CH90" s="4"/>
      <c r="CI90" s="55"/>
      <c r="CJ90" s="54"/>
      <c r="CK90" s="4"/>
      <c r="CL90" s="4"/>
      <c r="CM90" s="4"/>
      <c r="CN90" s="55"/>
      <c r="CO90" s="54"/>
      <c r="CP90" s="4"/>
      <c r="CQ90" s="4"/>
      <c r="CR90" s="4"/>
      <c r="CS90" s="55"/>
      <c r="CT90" s="54"/>
      <c r="CU90" s="4"/>
      <c r="CV90" s="4"/>
      <c r="CW90" s="4"/>
      <c r="CX90" s="55"/>
      <c r="CY90" s="54"/>
      <c r="CZ90" s="4"/>
      <c r="DA90" s="4"/>
      <c r="DB90" s="4"/>
      <c r="DC90" s="55"/>
      <c r="DD90" s="54"/>
      <c r="DE90" s="4"/>
      <c r="DF90" s="4"/>
      <c r="DG90" s="4"/>
      <c r="DH90" s="55"/>
      <c r="DI90" s="54"/>
      <c r="DJ90" s="4"/>
      <c r="DK90" s="4"/>
      <c r="DL90" s="4"/>
      <c r="DM90" s="55"/>
      <c r="DN90" s="54"/>
      <c r="DO90" s="4"/>
      <c r="DP90" s="4"/>
    </row>
    <row r="91">
      <c r="A91" s="56"/>
      <c r="B91" s="26"/>
      <c r="C91" s="46" t="s">
        <v>152</v>
      </c>
      <c r="D91" s="78" t="s">
        <v>153</v>
      </c>
      <c r="E91" s="79"/>
      <c r="F91" s="79"/>
      <c r="G91" s="49" t="s">
        <v>47</v>
      </c>
      <c r="H91" s="80">
        <v>45958.0</v>
      </c>
      <c r="I91" s="80">
        <v>45961.0</v>
      </c>
      <c r="J91" s="49" t="str">
        <f t="shared" si="28"/>
        <v>#REF!</v>
      </c>
      <c r="K91" s="49" t="s">
        <v>14</v>
      </c>
      <c r="L91" s="65"/>
      <c r="M91" s="73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43"/>
      <c r="AS91" s="43"/>
      <c r="AT91" s="43"/>
      <c r="AU91" s="43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3"/>
      <c r="CE91" s="54"/>
      <c r="CF91" s="4"/>
      <c r="CG91" s="4"/>
      <c r="CH91" s="4"/>
      <c r="CI91" s="55"/>
      <c r="CJ91" s="54"/>
      <c r="CK91" s="4"/>
      <c r="CL91" s="4"/>
      <c r="CM91" s="4"/>
      <c r="CN91" s="55"/>
      <c r="CO91" s="54"/>
      <c r="CP91" s="4"/>
      <c r="CQ91" s="4"/>
      <c r="CR91" s="4"/>
      <c r="CS91" s="55"/>
      <c r="CT91" s="54"/>
      <c r="CU91" s="4"/>
      <c r="CV91" s="4"/>
      <c r="CW91" s="4"/>
      <c r="CX91" s="55"/>
      <c r="CY91" s="54"/>
      <c r="CZ91" s="4"/>
      <c r="DA91" s="4"/>
      <c r="DB91" s="4"/>
      <c r="DC91" s="55"/>
      <c r="DD91" s="54"/>
      <c r="DE91" s="4"/>
      <c r="DF91" s="4"/>
      <c r="DG91" s="4"/>
      <c r="DH91" s="55"/>
      <c r="DI91" s="54"/>
      <c r="DJ91" s="4"/>
      <c r="DK91" s="4"/>
      <c r="DL91" s="4"/>
      <c r="DM91" s="55"/>
      <c r="DN91" s="54"/>
      <c r="DO91" s="4"/>
      <c r="DP91" s="4"/>
    </row>
    <row r="92">
      <c r="A92" s="56"/>
      <c r="B92" s="72" t="s">
        <v>73</v>
      </c>
      <c r="C92" s="60" t="s">
        <v>154</v>
      </c>
      <c r="D92" s="78" t="s">
        <v>155</v>
      </c>
      <c r="E92" s="79"/>
      <c r="F92" s="79"/>
      <c r="G92" s="49" t="s">
        <v>64</v>
      </c>
      <c r="H92" s="80">
        <v>45958.0</v>
      </c>
      <c r="I92" s="80">
        <v>45959.0</v>
      </c>
      <c r="J92" s="49" t="str">
        <f t="shared" si="28"/>
        <v>#REF!</v>
      </c>
      <c r="K92" s="49" t="s">
        <v>14</v>
      </c>
      <c r="L92" s="65"/>
      <c r="M92" s="73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43"/>
      <c r="AS92" s="43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3"/>
      <c r="CE92" s="54"/>
      <c r="CF92" s="4"/>
      <c r="CG92" s="4"/>
      <c r="CH92" s="4"/>
      <c r="CI92" s="55"/>
      <c r="CJ92" s="54"/>
      <c r="CK92" s="4"/>
      <c r="CL92" s="4"/>
      <c r="CM92" s="4"/>
      <c r="CN92" s="55"/>
      <c r="CO92" s="54"/>
      <c r="CP92" s="4"/>
      <c r="CQ92" s="4"/>
      <c r="CR92" s="4"/>
      <c r="CS92" s="55"/>
      <c r="CT92" s="54"/>
      <c r="CU92" s="4"/>
      <c r="CV92" s="4"/>
      <c r="CW92" s="4"/>
      <c r="CX92" s="55"/>
      <c r="CY92" s="54"/>
      <c r="CZ92" s="4"/>
      <c r="DA92" s="4"/>
      <c r="DB92" s="4"/>
      <c r="DC92" s="55"/>
      <c r="DD92" s="54"/>
      <c r="DE92" s="4"/>
      <c r="DF92" s="4"/>
      <c r="DG92" s="4"/>
      <c r="DH92" s="55"/>
      <c r="DI92" s="54"/>
      <c r="DJ92" s="4"/>
      <c r="DK92" s="4"/>
      <c r="DL92" s="4"/>
      <c r="DM92" s="55"/>
      <c r="DN92" s="54"/>
      <c r="DO92" s="4"/>
      <c r="DP92" s="4"/>
    </row>
    <row r="93">
      <c r="A93" s="56"/>
      <c r="B93" s="26"/>
      <c r="C93" s="26"/>
      <c r="D93" s="78" t="s">
        <v>156</v>
      </c>
      <c r="E93" s="79"/>
      <c r="F93" s="79"/>
      <c r="G93" s="49" t="s">
        <v>64</v>
      </c>
      <c r="H93" s="80">
        <v>45959.0</v>
      </c>
      <c r="I93" s="80">
        <v>45961.0</v>
      </c>
      <c r="J93" s="47"/>
      <c r="K93" s="49" t="s">
        <v>14</v>
      </c>
      <c r="L93" s="65"/>
      <c r="M93" s="73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43"/>
      <c r="AT93" s="43"/>
      <c r="AU93" s="43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3"/>
      <c r="CE93" s="54"/>
      <c r="CF93" s="4"/>
      <c r="CG93" s="4"/>
      <c r="CH93" s="4"/>
      <c r="CI93" s="55"/>
      <c r="CJ93" s="54"/>
      <c r="CK93" s="4"/>
      <c r="CL93" s="4"/>
      <c r="CM93" s="4"/>
      <c r="CN93" s="55"/>
      <c r="CO93" s="54"/>
      <c r="CP93" s="4"/>
      <c r="CQ93" s="4"/>
      <c r="CR93" s="4"/>
      <c r="CS93" s="55"/>
      <c r="CT93" s="54"/>
      <c r="CU93" s="4"/>
      <c r="CV93" s="4"/>
      <c r="CW93" s="4"/>
      <c r="CX93" s="55"/>
      <c r="CY93" s="54"/>
      <c r="CZ93" s="4"/>
      <c r="DA93" s="4"/>
      <c r="DB93" s="4"/>
      <c r="DC93" s="55"/>
      <c r="DD93" s="54"/>
      <c r="DE93" s="4"/>
      <c r="DF93" s="4"/>
      <c r="DG93" s="4"/>
      <c r="DH93" s="55"/>
      <c r="DI93" s="54"/>
      <c r="DJ93" s="4"/>
      <c r="DK93" s="4"/>
      <c r="DL93" s="4"/>
      <c r="DM93" s="55"/>
      <c r="DN93" s="54"/>
      <c r="DO93" s="4"/>
      <c r="DP93" s="4"/>
    </row>
    <row r="94">
      <c r="A94" s="56"/>
      <c r="B94" s="75" t="s">
        <v>93</v>
      </c>
      <c r="C94" s="46" t="s">
        <v>98</v>
      </c>
      <c r="D94" s="78" t="s">
        <v>99</v>
      </c>
      <c r="E94" s="79"/>
      <c r="F94" s="79"/>
      <c r="G94" s="49" t="s">
        <v>100</v>
      </c>
      <c r="H94" s="80">
        <v>45960.0</v>
      </c>
      <c r="I94" s="80">
        <v>45961.0</v>
      </c>
      <c r="J94" s="49" t="str">
        <f>IF(C94="","",NETWORKDAYS(H94,I94,Filter!D$2:D1000))</f>
        <v>#REF!</v>
      </c>
      <c r="K94" s="49" t="s">
        <v>101</v>
      </c>
      <c r="L94" s="65"/>
      <c r="M94" s="73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43"/>
      <c r="AU94" s="43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3"/>
      <c r="CE94" s="54"/>
      <c r="CF94" s="4"/>
      <c r="CG94" s="4"/>
      <c r="CH94" s="4"/>
      <c r="CI94" s="55"/>
      <c r="CJ94" s="54"/>
      <c r="CK94" s="4"/>
      <c r="CL94" s="4"/>
      <c r="CM94" s="4"/>
      <c r="CN94" s="55"/>
      <c r="CO94" s="54"/>
      <c r="CP94" s="4"/>
      <c r="CQ94" s="4"/>
      <c r="CR94" s="4"/>
      <c r="CS94" s="55"/>
      <c r="CT94" s="54"/>
      <c r="CU94" s="4"/>
      <c r="CV94" s="4"/>
      <c r="CW94" s="4"/>
      <c r="CX94" s="55"/>
      <c r="CY94" s="54"/>
      <c r="CZ94" s="4"/>
      <c r="DA94" s="4"/>
      <c r="DB94" s="4"/>
      <c r="DC94" s="55"/>
      <c r="DD94" s="54"/>
      <c r="DE94" s="4"/>
      <c r="DF94" s="4"/>
      <c r="DG94" s="4"/>
      <c r="DH94" s="55"/>
      <c r="DI94" s="54"/>
      <c r="DJ94" s="4"/>
      <c r="DK94" s="4"/>
      <c r="DL94" s="4"/>
      <c r="DM94" s="55"/>
      <c r="DN94" s="54"/>
      <c r="DO94" s="4"/>
      <c r="DP94" s="4"/>
    </row>
    <row r="95">
      <c r="A95" s="56"/>
      <c r="B95" s="72" t="s">
        <v>157</v>
      </c>
      <c r="C95" s="46" t="s">
        <v>158</v>
      </c>
      <c r="D95" s="78" t="s">
        <v>159</v>
      </c>
      <c r="E95" s="79"/>
      <c r="F95" s="79"/>
      <c r="G95" s="49" t="s">
        <v>18</v>
      </c>
      <c r="H95" s="80">
        <v>45958.0</v>
      </c>
      <c r="I95" s="80">
        <v>45958.0</v>
      </c>
      <c r="J95" s="47"/>
      <c r="K95" s="49" t="s">
        <v>14</v>
      </c>
      <c r="L95" s="65"/>
      <c r="M95" s="73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43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3"/>
      <c r="CE95" s="54"/>
      <c r="CF95" s="4"/>
      <c r="CG95" s="4"/>
      <c r="CH95" s="4"/>
      <c r="CI95" s="55"/>
      <c r="CJ95" s="54"/>
      <c r="CK95" s="4"/>
      <c r="CL95" s="4"/>
      <c r="CM95" s="4"/>
      <c r="CN95" s="55"/>
      <c r="CO95" s="54"/>
      <c r="CP95" s="4"/>
      <c r="CQ95" s="4"/>
      <c r="CR95" s="4"/>
      <c r="CS95" s="55"/>
      <c r="CT95" s="54"/>
      <c r="CU95" s="4"/>
      <c r="CV95" s="4"/>
      <c r="CW95" s="4"/>
      <c r="CX95" s="55"/>
      <c r="CY95" s="54"/>
      <c r="CZ95" s="4"/>
      <c r="DA95" s="4"/>
      <c r="DB95" s="4"/>
      <c r="DC95" s="55"/>
      <c r="DD95" s="54"/>
      <c r="DE95" s="4"/>
      <c r="DF95" s="4"/>
      <c r="DG95" s="4"/>
      <c r="DH95" s="55"/>
      <c r="DI95" s="54"/>
      <c r="DJ95" s="4"/>
      <c r="DK95" s="4"/>
      <c r="DL95" s="4"/>
      <c r="DM95" s="55"/>
      <c r="DN95" s="54"/>
      <c r="DO95" s="4"/>
      <c r="DP95" s="4"/>
    </row>
    <row r="96">
      <c r="A96" s="56"/>
      <c r="B96" s="56"/>
      <c r="C96" s="46" t="s">
        <v>118</v>
      </c>
      <c r="D96" s="78" t="s">
        <v>160</v>
      </c>
      <c r="E96" s="79"/>
      <c r="F96" s="79"/>
      <c r="G96" s="49" t="s">
        <v>112</v>
      </c>
      <c r="H96" s="80">
        <v>45958.0</v>
      </c>
      <c r="I96" s="80">
        <v>45959.0</v>
      </c>
      <c r="J96" s="49" t="str">
        <f>IF(C96="","",NETWORKDAYS(H96,I96,Filter!D$2:D1000))</f>
        <v>#REF!</v>
      </c>
      <c r="K96" s="49" t="s">
        <v>14</v>
      </c>
      <c r="L96" s="65"/>
      <c r="M96" s="73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43"/>
      <c r="AS96" s="43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3"/>
      <c r="CE96" s="54"/>
      <c r="CF96" s="4"/>
      <c r="CG96" s="4"/>
      <c r="CH96" s="4"/>
      <c r="CI96" s="55"/>
      <c r="CJ96" s="54"/>
      <c r="CK96" s="4"/>
      <c r="CL96" s="4"/>
      <c r="CM96" s="4"/>
      <c r="CN96" s="55"/>
      <c r="CO96" s="54"/>
      <c r="CP96" s="4"/>
      <c r="CQ96" s="4"/>
      <c r="CR96" s="4"/>
      <c r="CS96" s="55"/>
      <c r="CT96" s="54"/>
      <c r="CU96" s="4"/>
      <c r="CV96" s="4"/>
      <c r="CW96" s="4"/>
      <c r="CX96" s="55"/>
      <c r="CY96" s="54"/>
      <c r="CZ96" s="4"/>
      <c r="DA96" s="4"/>
      <c r="DB96" s="4"/>
      <c r="DC96" s="55"/>
      <c r="DD96" s="54"/>
      <c r="DE96" s="4"/>
      <c r="DF96" s="4"/>
      <c r="DG96" s="4"/>
      <c r="DH96" s="55"/>
      <c r="DI96" s="54"/>
      <c r="DJ96" s="4"/>
      <c r="DK96" s="4"/>
      <c r="DL96" s="4"/>
      <c r="DM96" s="55"/>
      <c r="DN96" s="54"/>
      <c r="DO96" s="4"/>
      <c r="DP96" s="4"/>
    </row>
    <row r="97">
      <c r="A97" s="56"/>
      <c r="B97" s="56"/>
      <c r="C97" s="60" t="s">
        <v>123</v>
      </c>
      <c r="D97" s="78" t="s">
        <v>161</v>
      </c>
      <c r="E97" s="79"/>
      <c r="F97" s="79"/>
      <c r="G97" s="49" t="s">
        <v>112</v>
      </c>
      <c r="H97" s="80">
        <v>45959.0</v>
      </c>
      <c r="I97" s="80">
        <v>45960.0</v>
      </c>
      <c r="J97" s="47"/>
      <c r="K97" s="49" t="s">
        <v>14</v>
      </c>
      <c r="L97" s="65"/>
      <c r="M97" s="73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43"/>
      <c r="AT97" s="43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3"/>
      <c r="CE97" s="54"/>
      <c r="CF97" s="4"/>
      <c r="CG97" s="4"/>
      <c r="CH97" s="4"/>
      <c r="CI97" s="55"/>
      <c r="CJ97" s="54"/>
      <c r="CK97" s="4"/>
      <c r="CL97" s="4"/>
      <c r="CM97" s="4"/>
      <c r="CN97" s="55"/>
      <c r="CO97" s="54"/>
      <c r="CP97" s="4"/>
      <c r="CQ97" s="4"/>
      <c r="CR97" s="4"/>
      <c r="CS97" s="55"/>
      <c r="CT97" s="54"/>
      <c r="CU97" s="4"/>
      <c r="CV97" s="4"/>
      <c r="CW97" s="4"/>
      <c r="CX97" s="55"/>
      <c r="CY97" s="54"/>
      <c r="CZ97" s="4"/>
      <c r="DA97" s="4"/>
      <c r="DB97" s="4"/>
      <c r="DC97" s="55"/>
      <c r="DD97" s="54"/>
      <c r="DE97" s="4"/>
      <c r="DF97" s="4"/>
      <c r="DG97" s="4"/>
      <c r="DH97" s="55"/>
      <c r="DI97" s="54"/>
      <c r="DJ97" s="4"/>
      <c r="DK97" s="4"/>
      <c r="DL97" s="4"/>
      <c r="DM97" s="55"/>
      <c r="DN97" s="54"/>
      <c r="DO97" s="4"/>
      <c r="DP97" s="4"/>
    </row>
    <row r="98">
      <c r="A98" s="56"/>
      <c r="B98" s="56"/>
      <c r="C98" s="26"/>
      <c r="D98" s="78" t="s">
        <v>162</v>
      </c>
      <c r="E98" s="79"/>
      <c r="F98" s="79"/>
      <c r="G98" s="49" t="s">
        <v>112</v>
      </c>
      <c r="H98" s="80">
        <v>45959.0</v>
      </c>
      <c r="I98" s="80">
        <v>45960.0</v>
      </c>
      <c r="J98" s="47"/>
      <c r="K98" s="49" t="s">
        <v>14</v>
      </c>
      <c r="L98" s="65"/>
      <c r="M98" s="73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43"/>
      <c r="AT98" s="43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3"/>
      <c r="CE98" s="54"/>
      <c r="CF98" s="4"/>
      <c r="CG98" s="4"/>
      <c r="CH98" s="4"/>
      <c r="CI98" s="55"/>
      <c r="CJ98" s="54"/>
      <c r="CK98" s="4"/>
      <c r="CL98" s="4"/>
      <c r="CM98" s="4"/>
      <c r="CN98" s="55"/>
      <c r="CO98" s="54"/>
      <c r="CP98" s="4"/>
      <c r="CQ98" s="4"/>
      <c r="CR98" s="4"/>
      <c r="CS98" s="55"/>
      <c r="CT98" s="54"/>
      <c r="CU98" s="4"/>
      <c r="CV98" s="4"/>
      <c r="CW98" s="4"/>
      <c r="CX98" s="55"/>
      <c r="CY98" s="54"/>
      <c r="CZ98" s="4"/>
      <c r="DA98" s="4"/>
      <c r="DB98" s="4"/>
      <c r="DC98" s="55"/>
      <c r="DD98" s="54"/>
      <c r="DE98" s="4"/>
      <c r="DF98" s="4"/>
      <c r="DG98" s="4"/>
      <c r="DH98" s="55"/>
      <c r="DI98" s="54"/>
      <c r="DJ98" s="4"/>
      <c r="DK98" s="4"/>
      <c r="DL98" s="4"/>
      <c r="DM98" s="55"/>
      <c r="DN98" s="54"/>
      <c r="DO98" s="4"/>
      <c r="DP98" s="4"/>
    </row>
    <row r="99">
      <c r="A99" s="56"/>
      <c r="B99" s="56"/>
      <c r="C99" s="46" t="s">
        <v>126</v>
      </c>
      <c r="D99" s="78" t="s">
        <v>163</v>
      </c>
      <c r="E99" s="79"/>
      <c r="F99" s="79"/>
      <c r="G99" s="49" t="s">
        <v>107</v>
      </c>
      <c r="H99" s="80">
        <v>45959.0</v>
      </c>
      <c r="I99" s="80">
        <v>45960.0</v>
      </c>
      <c r="J99" s="49" t="str">
        <f t="shared" ref="J99:J101" si="29">IF(C99="","",NETWORKDAYS(H99,I99,Filter!D$2:D1000))</f>
        <v>#REF!</v>
      </c>
      <c r="K99" s="49" t="s">
        <v>14</v>
      </c>
      <c r="L99" s="65"/>
      <c r="M99" s="73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43"/>
      <c r="AT99" s="43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3"/>
      <c r="CE99" s="54"/>
      <c r="CF99" s="4"/>
      <c r="CG99" s="4"/>
      <c r="CH99" s="4"/>
      <c r="CI99" s="55"/>
      <c r="CJ99" s="54"/>
      <c r="CK99" s="4"/>
      <c r="CL99" s="4"/>
      <c r="CM99" s="4"/>
      <c r="CN99" s="55"/>
      <c r="CO99" s="54"/>
      <c r="CP99" s="4"/>
      <c r="CQ99" s="4"/>
      <c r="CR99" s="4"/>
      <c r="CS99" s="55"/>
      <c r="CT99" s="54"/>
      <c r="CU99" s="4"/>
      <c r="CV99" s="4"/>
      <c r="CW99" s="4"/>
      <c r="CX99" s="55"/>
      <c r="CY99" s="54"/>
      <c r="CZ99" s="4"/>
      <c r="DA99" s="4"/>
      <c r="DB99" s="4"/>
      <c r="DC99" s="55"/>
      <c r="DD99" s="54"/>
      <c r="DE99" s="4"/>
      <c r="DF99" s="4"/>
      <c r="DG99" s="4"/>
      <c r="DH99" s="55"/>
      <c r="DI99" s="54"/>
      <c r="DJ99" s="4"/>
      <c r="DK99" s="4"/>
      <c r="DL99" s="4"/>
      <c r="DM99" s="55"/>
      <c r="DN99" s="54"/>
      <c r="DO99" s="4"/>
      <c r="DP99" s="4"/>
    </row>
    <row r="100">
      <c r="A100" s="56"/>
      <c r="B100" s="56"/>
      <c r="C100" s="60" t="s">
        <v>130</v>
      </c>
      <c r="D100" s="78" t="s">
        <v>164</v>
      </c>
      <c r="E100" s="79"/>
      <c r="F100" s="79"/>
      <c r="G100" s="49" t="s">
        <v>112</v>
      </c>
      <c r="H100" s="80">
        <v>45958.0</v>
      </c>
      <c r="I100" s="80">
        <v>45959.0</v>
      </c>
      <c r="J100" s="49" t="str">
        <f t="shared" si="29"/>
        <v>#REF!</v>
      </c>
      <c r="K100" s="49" t="s">
        <v>14</v>
      </c>
      <c r="L100" s="65"/>
      <c r="M100" s="73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43"/>
      <c r="AS100" s="43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3"/>
      <c r="CE100" s="54"/>
      <c r="CF100" s="4"/>
      <c r="CG100" s="4"/>
      <c r="CH100" s="4"/>
      <c r="CI100" s="55"/>
      <c r="CJ100" s="54"/>
      <c r="CK100" s="4"/>
      <c r="CL100" s="4"/>
      <c r="CM100" s="4"/>
      <c r="CN100" s="55"/>
      <c r="CO100" s="54"/>
      <c r="CP100" s="4"/>
      <c r="CQ100" s="4"/>
      <c r="CR100" s="4"/>
      <c r="CS100" s="55"/>
      <c r="CT100" s="54"/>
      <c r="CU100" s="4"/>
      <c r="CV100" s="4"/>
      <c r="CW100" s="4"/>
      <c r="CX100" s="55"/>
      <c r="CY100" s="54"/>
      <c r="CZ100" s="4"/>
      <c r="DA100" s="4"/>
      <c r="DB100" s="4"/>
      <c r="DC100" s="55"/>
      <c r="DD100" s="54"/>
      <c r="DE100" s="4"/>
      <c r="DF100" s="4"/>
      <c r="DG100" s="4"/>
      <c r="DH100" s="55"/>
      <c r="DI100" s="54"/>
      <c r="DJ100" s="4"/>
      <c r="DK100" s="4"/>
      <c r="DL100" s="4"/>
      <c r="DM100" s="55"/>
      <c r="DN100" s="54"/>
      <c r="DO100" s="4"/>
      <c r="DP100" s="4"/>
    </row>
    <row r="101">
      <c r="A101" s="56"/>
      <c r="B101" s="56"/>
      <c r="C101" s="56"/>
      <c r="D101" s="78" t="s">
        <v>165</v>
      </c>
      <c r="E101" s="79"/>
      <c r="F101" s="79"/>
      <c r="G101" s="49" t="s">
        <v>107</v>
      </c>
      <c r="H101" s="80">
        <v>45958.0</v>
      </c>
      <c r="I101" s="80">
        <v>45959.0</v>
      </c>
      <c r="J101" s="47" t="str">
        <f t="shared" si="29"/>
        <v/>
      </c>
      <c r="K101" s="49" t="s">
        <v>14</v>
      </c>
      <c r="L101" s="65"/>
      <c r="M101" s="73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43"/>
      <c r="AS101" s="43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3"/>
      <c r="CE101" s="54"/>
      <c r="CF101" s="4"/>
      <c r="CG101" s="4"/>
      <c r="CH101" s="4"/>
      <c r="CI101" s="55"/>
      <c r="CJ101" s="54"/>
      <c r="CK101" s="4"/>
      <c r="CL101" s="4"/>
      <c r="CM101" s="4"/>
      <c r="CN101" s="55"/>
      <c r="CO101" s="54"/>
      <c r="CP101" s="4"/>
      <c r="CQ101" s="4"/>
      <c r="CR101" s="4"/>
      <c r="CS101" s="55"/>
      <c r="CT101" s="54"/>
      <c r="CU101" s="4"/>
      <c r="CV101" s="4"/>
      <c r="CW101" s="4"/>
      <c r="CX101" s="55"/>
      <c r="CY101" s="54"/>
      <c r="CZ101" s="4"/>
      <c r="DA101" s="4"/>
      <c r="DB101" s="4"/>
      <c r="DC101" s="55"/>
      <c r="DD101" s="54"/>
      <c r="DE101" s="4"/>
      <c r="DF101" s="4"/>
      <c r="DG101" s="4"/>
      <c r="DH101" s="55"/>
      <c r="DI101" s="54"/>
      <c r="DJ101" s="4"/>
      <c r="DK101" s="4"/>
      <c r="DL101" s="4"/>
      <c r="DM101" s="55"/>
      <c r="DN101" s="54"/>
      <c r="DO101" s="4"/>
      <c r="DP101" s="4"/>
    </row>
    <row r="102">
      <c r="A102" s="56"/>
      <c r="B102" s="56"/>
      <c r="C102" s="56"/>
      <c r="D102" s="78" t="s">
        <v>166</v>
      </c>
      <c r="E102" s="79"/>
      <c r="F102" s="79"/>
      <c r="G102" s="49" t="s">
        <v>112</v>
      </c>
      <c r="H102" s="80">
        <v>45958.0</v>
      </c>
      <c r="I102" s="80">
        <v>45958.0</v>
      </c>
      <c r="J102" s="49">
        <v>1.0</v>
      </c>
      <c r="K102" s="49" t="s">
        <v>14</v>
      </c>
      <c r="L102" s="65"/>
      <c r="M102" s="73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43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3"/>
      <c r="CE102" s="54"/>
      <c r="CF102" s="4"/>
      <c r="CG102" s="4"/>
      <c r="CH102" s="4"/>
      <c r="CI102" s="55"/>
      <c r="CJ102" s="54"/>
      <c r="CK102" s="4"/>
      <c r="CL102" s="4"/>
      <c r="CM102" s="4"/>
      <c r="CN102" s="55"/>
      <c r="CO102" s="54"/>
      <c r="CP102" s="4"/>
      <c r="CQ102" s="4"/>
      <c r="CR102" s="4"/>
      <c r="CS102" s="55"/>
      <c r="CT102" s="54"/>
      <c r="CU102" s="4"/>
      <c r="CV102" s="4"/>
      <c r="CW102" s="4"/>
      <c r="CX102" s="55"/>
      <c r="CY102" s="54"/>
      <c r="CZ102" s="4"/>
      <c r="DA102" s="4"/>
      <c r="DB102" s="4"/>
      <c r="DC102" s="55"/>
      <c r="DD102" s="54"/>
      <c r="DE102" s="4"/>
      <c r="DF102" s="4"/>
      <c r="DG102" s="4"/>
      <c r="DH102" s="55"/>
      <c r="DI102" s="54"/>
      <c r="DJ102" s="4"/>
      <c r="DK102" s="4"/>
      <c r="DL102" s="4"/>
      <c r="DM102" s="55"/>
      <c r="DN102" s="54"/>
      <c r="DO102" s="4"/>
      <c r="DP102" s="4"/>
    </row>
    <row r="103">
      <c r="A103" s="56"/>
      <c r="B103" s="56"/>
      <c r="C103" s="56"/>
      <c r="D103" s="78" t="s">
        <v>167</v>
      </c>
      <c r="E103" s="79"/>
      <c r="F103" s="79"/>
      <c r="G103" s="49" t="s">
        <v>112</v>
      </c>
      <c r="H103" s="80">
        <v>45959.0</v>
      </c>
      <c r="I103" s="80">
        <v>45959.0</v>
      </c>
      <c r="J103" s="47"/>
      <c r="K103" s="49" t="s">
        <v>14</v>
      </c>
      <c r="L103" s="65"/>
      <c r="M103" s="73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43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3"/>
      <c r="CE103" s="54"/>
      <c r="CF103" s="4"/>
      <c r="CG103" s="4"/>
      <c r="CH103" s="4"/>
      <c r="CI103" s="55"/>
      <c r="CJ103" s="54"/>
      <c r="CK103" s="4"/>
      <c r="CL103" s="4"/>
      <c r="CM103" s="4"/>
      <c r="CN103" s="55"/>
      <c r="CO103" s="54"/>
      <c r="CP103" s="4"/>
      <c r="CQ103" s="4"/>
      <c r="CR103" s="4"/>
      <c r="CS103" s="55"/>
      <c r="CT103" s="54"/>
      <c r="CU103" s="4"/>
      <c r="CV103" s="4"/>
      <c r="CW103" s="4"/>
      <c r="CX103" s="55"/>
      <c r="CY103" s="54"/>
      <c r="CZ103" s="4"/>
      <c r="DA103" s="4"/>
      <c r="DB103" s="4"/>
      <c r="DC103" s="55"/>
      <c r="DD103" s="54"/>
      <c r="DE103" s="4"/>
      <c r="DF103" s="4"/>
      <c r="DG103" s="4"/>
      <c r="DH103" s="55"/>
      <c r="DI103" s="54"/>
      <c r="DJ103" s="4"/>
      <c r="DK103" s="4"/>
      <c r="DL103" s="4"/>
      <c r="DM103" s="55"/>
      <c r="DN103" s="54"/>
      <c r="DO103" s="4"/>
      <c r="DP103" s="4"/>
    </row>
    <row r="104">
      <c r="A104" s="56"/>
      <c r="B104" s="56"/>
      <c r="C104" s="56"/>
      <c r="D104" s="78" t="s">
        <v>168</v>
      </c>
      <c r="E104" s="79"/>
      <c r="F104" s="79"/>
      <c r="G104" s="49" t="s">
        <v>112</v>
      </c>
      <c r="H104" s="80">
        <v>45959.0</v>
      </c>
      <c r="I104" s="80">
        <v>45959.0</v>
      </c>
      <c r="J104" s="47"/>
      <c r="K104" s="49" t="s">
        <v>14</v>
      </c>
      <c r="L104" s="65"/>
      <c r="M104" s="73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43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3"/>
      <c r="CE104" s="54"/>
      <c r="CF104" s="4"/>
      <c r="CG104" s="4"/>
      <c r="CH104" s="4"/>
      <c r="CI104" s="55"/>
      <c r="CJ104" s="54"/>
      <c r="CK104" s="4"/>
      <c r="CL104" s="4"/>
      <c r="CM104" s="4"/>
      <c r="CN104" s="55"/>
      <c r="CO104" s="54"/>
      <c r="CP104" s="4"/>
      <c r="CQ104" s="4"/>
      <c r="CR104" s="4"/>
      <c r="CS104" s="55"/>
      <c r="CT104" s="54"/>
      <c r="CU104" s="4"/>
      <c r="CV104" s="4"/>
      <c r="CW104" s="4"/>
      <c r="CX104" s="55"/>
      <c r="CY104" s="54"/>
      <c r="CZ104" s="4"/>
      <c r="DA104" s="4"/>
      <c r="DB104" s="4"/>
      <c r="DC104" s="55"/>
      <c r="DD104" s="54"/>
      <c r="DE104" s="4"/>
      <c r="DF104" s="4"/>
      <c r="DG104" s="4"/>
      <c r="DH104" s="55"/>
      <c r="DI104" s="54"/>
      <c r="DJ104" s="4"/>
      <c r="DK104" s="4"/>
      <c r="DL104" s="4"/>
      <c r="DM104" s="55"/>
      <c r="DN104" s="54"/>
      <c r="DO104" s="4"/>
      <c r="DP104" s="4"/>
    </row>
    <row r="105">
      <c r="A105" s="56"/>
      <c r="B105" s="56"/>
      <c r="C105" s="56"/>
      <c r="D105" s="78" t="s">
        <v>169</v>
      </c>
      <c r="E105" s="79"/>
      <c r="F105" s="79"/>
      <c r="G105" s="49" t="s">
        <v>112</v>
      </c>
      <c r="H105" s="80">
        <v>45959.0</v>
      </c>
      <c r="I105" s="80">
        <v>45959.0</v>
      </c>
      <c r="J105" s="47"/>
      <c r="K105" s="49" t="s">
        <v>14</v>
      </c>
      <c r="L105" s="65"/>
      <c r="M105" s="73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43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3"/>
      <c r="CE105" s="54"/>
      <c r="CF105" s="4"/>
      <c r="CG105" s="4"/>
      <c r="CH105" s="4"/>
      <c r="CI105" s="55"/>
      <c r="CJ105" s="54"/>
      <c r="CK105" s="4"/>
      <c r="CL105" s="4"/>
      <c r="CM105" s="4"/>
      <c r="CN105" s="55"/>
      <c r="CO105" s="54"/>
      <c r="CP105" s="4"/>
      <c r="CQ105" s="4"/>
      <c r="CR105" s="4"/>
      <c r="CS105" s="55"/>
      <c r="CT105" s="54"/>
      <c r="CU105" s="4"/>
      <c r="CV105" s="4"/>
      <c r="CW105" s="4"/>
      <c r="CX105" s="55"/>
      <c r="CY105" s="54"/>
      <c r="CZ105" s="4"/>
      <c r="DA105" s="4"/>
      <c r="DB105" s="4"/>
      <c r="DC105" s="55"/>
      <c r="DD105" s="54"/>
      <c r="DE105" s="4"/>
      <c r="DF105" s="4"/>
      <c r="DG105" s="4"/>
      <c r="DH105" s="55"/>
      <c r="DI105" s="54"/>
      <c r="DJ105" s="4"/>
      <c r="DK105" s="4"/>
      <c r="DL105" s="4"/>
      <c r="DM105" s="55"/>
      <c r="DN105" s="54"/>
      <c r="DO105" s="4"/>
      <c r="DP105" s="4"/>
    </row>
    <row r="106">
      <c r="A106" s="56"/>
      <c r="B106" s="56"/>
      <c r="C106" s="56"/>
      <c r="D106" s="78" t="s">
        <v>170</v>
      </c>
      <c r="E106" s="79"/>
      <c r="F106" s="79"/>
      <c r="G106" s="49" t="s">
        <v>112</v>
      </c>
      <c r="H106" s="80">
        <v>45959.0</v>
      </c>
      <c r="I106" s="80">
        <v>45959.0</v>
      </c>
      <c r="J106" s="47"/>
      <c r="K106" s="49" t="s">
        <v>14</v>
      </c>
      <c r="L106" s="65"/>
      <c r="M106" s="73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43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3"/>
      <c r="CE106" s="54"/>
      <c r="CF106" s="4"/>
      <c r="CG106" s="4"/>
      <c r="CH106" s="4"/>
      <c r="CI106" s="55"/>
      <c r="CJ106" s="54"/>
      <c r="CK106" s="4"/>
      <c r="CL106" s="4"/>
      <c r="CM106" s="4"/>
      <c r="CN106" s="55"/>
      <c r="CO106" s="54"/>
      <c r="CP106" s="4"/>
      <c r="CQ106" s="4"/>
      <c r="CR106" s="4"/>
      <c r="CS106" s="55"/>
      <c r="CT106" s="54"/>
      <c r="CU106" s="4"/>
      <c r="CV106" s="4"/>
      <c r="CW106" s="4"/>
      <c r="CX106" s="55"/>
      <c r="CY106" s="54"/>
      <c r="CZ106" s="4"/>
      <c r="DA106" s="4"/>
      <c r="DB106" s="4"/>
      <c r="DC106" s="55"/>
      <c r="DD106" s="54"/>
      <c r="DE106" s="4"/>
      <c r="DF106" s="4"/>
      <c r="DG106" s="4"/>
      <c r="DH106" s="55"/>
      <c r="DI106" s="54"/>
      <c r="DJ106" s="4"/>
      <c r="DK106" s="4"/>
      <c r="DL106" s="4"/>
      <c r="DM106" s="55"/>
      <c r="DN106" s="54"/>
      <c r="DO106" s="4"/>
      <c r="DP106" s="4"/>
    </row>
    <row r="107">
      <c r="A107" s="56"/>
      <c r="B107" s="26"/>
      <c r="C107" s="26"/>
      <c r="D107" s="78" t="s">
        <v>171</v>
      </c>
      <c r="E107" s="79"/>
      <c r="F107" s="79"/>
      <c r="G107" s="49" t="s">
        <v>112</v>
      </c>
      <c r="H107" s="80">
        <v>45959.0</v>
      </c>
      <c r="I107" s="80">
        <v>45959.0</v>
      </c>
      <c r="J107" s="47" t="str">
        <f>IF(C107="","",NETWORKDAYS(H107,I107,Filter!D$2:D1000))</f>
        <v/>
      </c>
      <c r="K107" s="49" t="s">
        <v>14</v>
      </c>
      <c r="L107" s="65"/>
      <c r="M107" s="73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43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3"/>
      <c r="CE107" s="54"/>
      <c r="CF107" s="4"/>
      <c r="CG107" s="4"/>
      <c r="CH107" s="4"/>
      <c r="CI107" s="55"/>
      <c r="CJ107" s="54"/>
      <c r="CK107" s="4"/>
      <c r="CL107" s="4"/>
      <c r="CM107" s="4"/>
      <c r="CN107" s="55"/>
      <c r="CO107" s="54"/>
      <c r="CP107" s="4"/>
      <c r="CQ107" s="4"/>
      <c r="CR107" s="4"/>
      <c r="CS107" s="55"/>
      <c r="CT107" s="54"/>
      <c r="CU107" s="4"/>
      <c r="CV107" s="4"/>
      <c r="CW107" s="4"/>
      <c r="CX107" s="55"/>
      <c r="CY107" s="54"/>
      <c r="CZ107" s="4"/>
      <c r="DA107" s="4"/>
      <c r="DB107" s="4"/>
      <c r="DC107" s="55"/>
      <c r="DD107" s="54"/>
      <c r="DE107" s="4"/>
      <c r="DF107" s="4"/>
      <c r="DG107" s="4"/>
      <c r="DH107" s="55"/>
      <c r="DI107" s="54"/>
      <c r="DJ107" s="4"/>
      <c r="DK107" s="4"/>
      <c r="DL107" s="4"/>
      <c r="DM107" s="55"/>
      <c r="DN107" s="54"/>
      <c r="DO107" s="4"/>
      <c r="DP107" s="4"/>
    </row>
    <row r="108">
      <c r="A108" s="56"/>
      <c r="B108" s="72" t="s">
        <v>139</v>
      </c>
      <c r="C108" s="46" t="s">
        <v>172</v>
      </c>
      <c r="D108" s="78" t="s">
        <v>173</v>
      </c>
      <c r="E108" s="79"/>
      <c r="F108" s="79"/>
      <c r="G108" s="49" t="s">
        <v>107</v>
      </c>
      <c r="H108" s="86"/>
      <c r="I108" s="86"/>
      <c r="J108" s="47"/>
      <c r="K108" s="49" t="s">
        <v>101</v>
      </c>
      <c r="L108" s="65"/>
      <c r="M108" s="73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3"/>
      <c r="CE108" s="54"/>
      <c r="CF108" s="4"/>
      <c r="CG108" s="4"/>
      <c r="CH108" s="4"/>
      <c r="CI108" s="55"/>
      <c r="CJ108" s="54"/>
      <c r="CK108" s="4"/>
      <c r="CL108" s="4"/>
      <c r="CM108" s="4"/>
      <c r="CN108" s="55"/>
      <c r="CO108" s="54"/>
      <c r="CP108" s="4"/>
      <c r="CQ108" s="4"/>
      <c r="CR108" s="4"/>
      <c r="CS108" s="55"/>
      <c r="CT108" s="54"/>
      <c r="CU108" s="4"/>
      <c r="CV108" s="4"/>
      <c r="CW108" s="4"/>
      <c r="CX108" s="55"/>
      <c r="CY108" s="54"/>
      <c r="CZ108" s="4"/>
      <c r="DA108" s="4"/>
      <c r="DB108" s="4"/>
      <c r="DC108" s="55"/>
      <c r="DD108" s="54"/>
      <c r="DE108" s="4"/>
      <c r="DF108" s="4"/>
      <c r="DG108" s="4"/>
      <c r="DH108" s="55"/>
      <c r="DI108" s="54"/>
      <c r="DJ108" s="4"/>
      <c r="DK108" s="4"/>
      <c r="DL108" s="4"/>
      <c r="DM108" s="55"/>
      <c r="DN108" s="54"/>
      <c r="DO108" s="4"/>
      <c r="DP108" s="4"/>
    </row>
    <row r="109">
      <c r="A109" s="56"/>
      <c r="B109" s="56"/>
      <c r="C109" s="60" t="s">
        <v>174</v>
      </c>
      <c r="D109" s="78" t="s">
        <v>175</v>
      </c>
      <c r="E109" s="79"/>
      <c r="F109" s="79"/>
      <c r="G109" s="49" t="s">
        <v>107</v>
      </c>
      <c r="H109" s="86"/>
      <c r="I109" s="86"/>
      <c r="J109" s="47"/>
      <c r="K109" s="49" t="s">
        <v>101</v>
      </c>
      <c r="L109" s="65"/>
      <c r="M109" s="73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3"/>
      <c r="CE109" s="54"/>
      <c r="CF109" s="4"/>
      <c r="CG109" s="4"/>
      <c r="CH109" s="4"/>
      <c r="CI109" s="55"/>
      <c r="CJ109" s="54"/>
      <c r="CK109" s="4"/>
      <c r="CL109" s="4"/>
      <c r="CM109" s="4"/>
      <c r="CN109" s="55"/>
      <c r="CO109" s="54"/>
      <c r="CP109" s="4"/>
      <c r="CQ109" s="4"/>
      <c r="CR109" s="4"/>
      <c r="CS109" s="55"/>
      <c r="CT109" s="54"/>
      <c r="CU109" s="4"/>
      <c r="CV109" s="4"/>
      <c r="CW109" s="4"/>
      <c r="CX109" s="55"/>
      <c r="CY109" s="54"/>
      <c r="CZ109" s="4"/>
      <c r="DA109" s="4"/>
      <c r="DB109" s="4"/>
      <c r="DC109" s="55"/>
      <c r="DD109" s="54"/>
      <c r="DE109" s="4"/>
      <c r="DF109" s="4"/>
      <c r="DG109" s="4"/>
      <c r="DH109" s="55"/>
      <c r="DI109" s="54"/>
      <c r="DJ109" s="4"/>
      <c r="DK109" s="4"/>
      <c r="DL109" s="4"/>
      <c r="DM109" s="55"/>
      <c r="DN109" s="54"/>
      <c r="DO109" s="4"/>
      <c r="DP109" s="4"/>
    </row>
    <row r="110">
      <c r="A110" s="56"/>
      <c r="B110" s="26"/>
      <c r="C110" s="26"/>
      <c r="D110" s="78" t="s">
        <v>176</v>
      </c>
      <c r="E110" s="79"/>
      <c r="F110" s="79"/>
      <c r="G110" s="49" t="s">
        <v>107</v>
      </c>
      <c r="H110" s="86"/>
      <c r="I110" s="86"/>
      <c r="J110" s="47"/>
      <c r="K110" s="49" t="s">
        <v>101</v>
      </c>
      <c r="L110" s="65"/>
      <c r="M110" s="73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3"/>
      <c r="CE110" s="54"/>
      <c r="CF110" s="4"/>
      <c r="CG110" s="4"/>
      <c r="CH110" s="4"/>
      <c r="CI110" s="55"/>
      <c r="CJ110" s="54"/>
      <c r="CK110" s="4"/>
      <c r="CL110" s="4"/>
      <c r="CM110" s="4"/>
      <c r="CN110" s="55"/>
      <c r="CO110" s="54"/>
      <c r="CP110" s="4"/>
      <c r="CQ110" s="4"/>
      <c r="CR110" s="4"/>
      <c r="CS110" s="55"/>
      <c r="CT110" s="54"/>
      <c r="CU110" s="4"/>
      <c r="CV110" s="4"/>
      <c r="CW110" s="4"/>
      <c r="CX110" s="55"/>
      <c r="CY110" s="54"/>
      <c r="CZ110" s="4"/>
      <c r="DA110" s="4"/>
      <c r="DB110" s="4"/>
      <c r="DC110" s="55"/>
      <c r="DD110" s="54"/>
      <c r="DE110" s="4"/>
      <c r="DF110" s="4"/>
      <c r="DG110" s="4"/>
      <c r="DH110" s="55"/>
      <c r="DI110" s="54"/>
      <c r="DJ110" s="4"/>
      <c r="DK110" s="4"/>
      <c r="DL110" s="4"/>
      <c r="DM110" s="55"/>
      <c r="DN110" s="54"/>
      <c r="DO110" s="4"/>
      <c r="DP110" s="4"/>
    </row>
    <row r="111">
      <c r="A111" s="56"/>
      <c r="B111" s="72" t="s">
        <v>177</v>
      </c>
      <c r="C111" s="60" t="s">
        <v>178</v>
      </c>
      <c r="D111" s="78" t="s">
        <v>179</v>
      </c>
      <c r="E111" s="79"/>
      <c r="F111" s="79"/>
      <c r="G111" s="49" t="s">
        <v>37</v>
      </c>
      <c r="H111" s="80">
        <v>45960.0</v>
      </c>
      <c r="I111" s="80">
        <v>45961.0</v>
      </c>
      <c r="J111" s="47"/>
      <c r="K111" s="49" t="s">
        <v>101</v>
      </c>
      <c r="L111" s="65"/>
      <c r="M111" s="73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43"/>
      <c r="AU111" s="43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3"/>
      <c r="CE111" s="54"/>
      <c r="CF111" s="4"/>
      <c r="CG111" s="4"/>
      <c r="CH111" s="4"/>
      <c r="CI111" s="55"/>
      <c r="CJ111" s="54"/>
      <c r="CK111" s="4"/>
      <c r="CL111" s="4"/>
      <c r="CM111" s="4"/>
      <c r="CN111" s="55"/>
      <c r="CO111" s="54"/>
      <c r="CP111" s="4"/>
      <c r="CQ111" s="4"/>
      <c r="CR111" s="4"/>
      <c r="CS111" s="55"/>
      <c r="CT111" s="54"/>
      <c r="CU111" s="4"/>
      <c r="CV111" s="4"/>
      <c r="CW111" s="4"/>
      <c r="CX111" s="55"/>
      <c r="CY111" s="54"/>
      <c r="CZ111" s="4"/>
      <c r="DA111" s="4"/>
      <c r="DB111" s="4"/>
      <c r="DC111" s="55"/>
      <c r="DD111" s="54"/>
      <c r="DE111" s="4"/>
      <c r="DF111" s="4"/>
      <c r="DG111" s="4"/>
      <c r="DH111" s="55"/>
      <c r="DI111" s="54"/>
      <c r="DJ111" s="4"/>
      <c r="DK111" s="4"/>
      <c r="DL111" s="4"/>
      <c r="DM111" s="55"/>
      <c r="DN111" s="54"/>
      <c r="DO111" s="4"/>
      <c r="DP111" s="4"/>
    </row>
    <row r="112">
      <c r="A112" s="56"/>
      <c r="B112" s="26"/>
      <c r="C112" s="26"/>
      <c r="D112" s="78" t="s">
        <v>180</v>
      </c>
      <c r="E112" s="79"/>
      <c r="F112" s="79"/>
      <c r="G112" s="49" t="s">
        <v>37</v>
      </c>
      <c r="H112" s="80">
        <v>45960.0</v>
      </c>
      <c r="I112" s="80">
        <v>45961.0</v>
      </c>
      <c r="J112" s="47"/>
      <c r="K112" s="49" t="s">
        <v>101</v>
      </c>
      <c r="L112" s="65"/>
      <c r="M112" s="73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43"/>
      <c r="AU112" s="43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3"/>
      <c r="CE112" s="54"/>
      <c r="CF112" s="4"/>
      <c r="CG112" s="4"/>
      <c r="CH112" s="4"/>
      <c r="CI112" s="55"/>
      <c r="CJ112" s="54"/>
      <c r="CK112" s="4"/>
      <c r="CL112" s="4"/>
      <c r="CM112" s="4"/>
      <c r="CN112" s="55"/>
      <c r="CO112" s="54"/>
      <c r="CP112" s="4"/>
      <c r="CQ112" s="4"/>
      <c r="CR112" s="4"/>
      <c r="CS112" s="55"/>
      <c r="CT112" s="54"/>
      <c r="CU112" s="4"/>
      <c r="CV112" s="4"/>
      <c r="CW112" s="4"/>
      <c r="CX112" s="55"/>
      <c r="CY112" s="54"/>
      <c r="CZ112" s="4"/>
      <c r="DA112" s="4"/>
      <c r="DB112" s="4"/>
      <c r="DC112" s="55"/>
      <c r="DD112" s="54"/>
      <c r="DE112" s="4"/>
      <c r="DF112" s="4"/>
      <c r="DG112" s="4"/>
      <c r="DH112" s="55"/>
      <c r="DI112" s="54"/>
      <c r="DJ112" s="4"/>
      <c r="DK112" s="4"/>
      <c r="DL112" s="4"/>
      <c r="DM112" s="55"/>
      <c r="DN112" s="54"/>
      <c r="DO112" s="4"/>
      <c r="DP112" s="4"/>
    </row>
    <row r="113">
      <c r="A113" s="56"/>
      <c r="B113" s="92" t="s">
        <v>181</v>
      </c>
      <c r="C113" s="46" t="s">
        <v>182</v>
      </c>
      <c r="D113" s="66" t="s">
        <v>183</v>
      </c>
      <c r="E113" s="79"/>
      <c r="F113" s="79"/>
      <c r="G113" s="49" t="s">
        <v>64</v>
      </c>
      <c r="H113" s="86"/>
      <c r="I113" s="86"/>
      <c r="J113" s="47"/>
      <c r="K113" s="49" t="s">
        <v>14</v>
      </c>
      <c r="L113" s="65"/>
      <c r="M113" s="73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3"/>
      <c r="CE113" s="54"/>
      <c r="CF113" s="4"/>
      <c r="CG113" s="4"/>
      <c r="CH113" s="4"/>
      <c r="CI113" s="55"/>
      <c r="CJ113" s="54"/>
      <c r="CK113" s="4"/>
      <c r="CL113" s="4"/>
      <c r="CM113" s="4"/>
      <c r="CN113" s="55"/>
      <c r="CO113" s="54"/>
      <c r="CP113" s="4"/>
      <c r="CQ113" s="4"/>
      <c r="CR113" s="4"/>
      <c r="CS113" s="55"/>
      <c r="CT113" s="54"/>
      <c r="CU113" s="4"/>
      <c r="CV113" s="4"/>
      <c r="CW113" s="4"/>
      <c r="CX113" s="55"/>
      <c r="CY113" s="54"/>
      <c r="CZ113" s="4"/>
      <c r="DA113" s="4"/>
      <c r="DB113" s="4"/>
      <c r="DC113" s="55"/>
      <c r="DD113" s="54"/>
      <c r="DE113" s="4"/>
      <c r="DF113" s="4"/>
      <c r="DG113" s="4"/>
      <c r="DH113" s="55"/>
      <c r="DI113" s="54"/>
      <c r="DJ113" s="4"/>
      <c r="DK113" s="4"/>
      <c r="DL113" s="4"/>
      <c r="DM113" s="55"/>
      <c r="DN113" s="54"/>
      <c r="DO113" s="4"/>
      <c r="DP113" s="4"/>
    </row>
    <row r="114">
      <c r="A114" s="26"/>
      <c r="B114" s="26"/>
      <c r="C114" s="46" t="s">
        <v>184</v>
      </c>
      <c r="D114" s="78" t="s">
        <v>185</v>
      </c>
      <c r="E114" s="79"/>
      <c r="F114" s="79"/>
      <c r="G114" s="49" t="s">
        <v>186</v>
      </c>
      <c r="H114" s="86"/>
      <c r="I114" s="86"/>
      <c r="J114" s="49" t="str">
        <f t="shared" ref="J114:J115" si="30">IF(C114="","",NETWORKDAYS(H114,I114,Filter!D$2:D1000))</f>
        <v>#REF!</v>
      </c>
      <c r="K114" s="49" t="s">
        <v>14</v>
      </c>
      <c r="L114" s="65"/>
      <c r="M114" s="73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3"/>
      <c r="CE114" s="54"/>
      <c r="CF114" s="4"/>
      <c r="CG114" s="4"/>
      <c r="CH114" s="4"/>
      <c r="CI114" s="55"/>
      <c r="CJ114" s="54"/>
      <c r="CK114" s="4"/>
      <c r="CL114" s="4"/>
      <c r="CM114" s="4"/>
      <c r="CN114" s="55"/>
      <c r="CO114" s="54"/>
      <c r="CP114" s="4"/>
      <c r="CQ114" s="4"/>
      <c r="CR114" s="4"/>
      <c r="CS114" s="55"/>
      <c r="CT114" s="54"/>
      <c r="CU114" s="4"/>
      <c r="CV114" s="4"/>
      <c r="CW114" s="4"/>
      <c r="CX114" s="55"/>
      <c r="CY114" s="54"/>
      <c r="CZ114" s="4"/>
      <c r="DA114" s="4"/>
      <c r="DB114" s="4"/>
      <c r="DC114" s="55"/>
      <c r="DD114" s="54"/>
      <c r="DE114" s="4"/>
      <c r="DF114" s="4"/>
      <c r="DG114" s="4"/>
      <c r="DH114" s="55"/>
      <c r="DI114" s="54"/>
      <c r="DJ114" s="4"/>
      <c r="DK114" s="4"/>
      <c r="DL114" s="4"/>
      <c r="DM114" s="55"/>
      <c r="DN114" s="54"/>
      <c r="DO114" s="4"/>
      <c r="DP114" s="4"/>
    </row>
    <row r="115">
      <c r="A115" s="34" t="s">
        <v>187</v>
      </c>
      <c r="B115" s="35"/>
      <c r="C115" s="35"/>
      <c r="D115" s="36"/>
      <c r="E115" s="36"/>
      <c r="F115" s="37"/>
      <c r="G115" s="38"/>
      <c r="H115" s="39">
        <v>45964.0</v>
      </c>
      <c r="I115" s="39">
        <v>45968.0</v>
      </c>
      <c r="J115" s="36" t="str">
        <f t="shared" si="30"/>
        <v/>
      </c>
      <c r="K115" s="40" t="s">
        <v>188</v>
      </c>
      <c r="L115" s="41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3"/>
      <c r="AW115" s="43"/>
      <c r="AX115" s="43"/>
      <c r="AY115" s="43"/>
      <c r="AZ115" s="43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  <c r="DO115" s="42"/>
      <c r="DP115" s="42"/>
    </row>
    <row r="116">
      <c r="A116" s="44" t="s">
        <v>189</v>
      </c>
      <c r="B116" s="75" t="s">
        <v>28</v>
      </c>
      <c r="C116" s="46" t="s">
        <v>135</v>
      </c>
      <c r="D116" s="78" t="s">
        <v>190</v>
      </c>
      <c r="E116" s="79"/>
      <c r="F116" s="79"/>
      <c r="G116" s="49" t="s">
        <v>18</v>
      </c>
      <c r="H116" s="80">
        <v>45966.0</v>
      </c>
      <c r="I116" s="86"/>
      <c r="J116" s="47"/>
      <c r="K116" s="49" t="s">
        <v>14</v>
      </c>
      <c r="L116" s="65"/>
      <c r="M116" s="73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3"/>
      <c r="CE116" s="54"/>
      <c r="CF116" s="4"/>
      <c r="CG116" s="4"/>
      <c r="CH116" s="4"/>
      <c r="CI116" s="55"/>
      <c r="CJ116" s="54"/>
      <c r="CK116" s="4"/>
      <c r="CL116" s="4"/>
      <c r="CM116" s="4"/>
      <c r="CN116" s="55"/>
      <c r="CO116" s="54"/>
      <c r="CP116" s="4"/>
      <c r="CQ116" s="4"/>
      <c r="CR116" s="4"/>
      <c r="CS116" s="55"/>
      <c r="CT116" s="54"/>
      <c r="CU116" s="4"/>
      <c r="CV116" s="4"/>
      <c r="CW116" s="4"/>
      <c r="CX116" s="55"/>
      <c r="CY116" s="54"/>
      <c r="CZ116" s="4"/>
      <c r="DA116" s="4"/>
      <c r="DB116" s="4"/>
      <c r="DC116" s="55"/>
      <c r="DD116" s="54"/>
      <c r="DE116" s="4"/>
      <c r="DF116" s="4"/>
      <c r="DG116" s="4"/>
      <c r="DH116" s="55"/>
      <c r="DI116" s="54"/>
      <c r="DJ116" s="4"/>
      <c r="DK116" s="4"/>
      <c r="DL116" s="4"/>
      <c r="DM116" s="55"/>
      <c r="DN116" s="54"/>
      <c r="DO116" s="4"/>
      <c r="DP116" s="4"/>
    </row>
    <row r="117">
      <c r="A117" s="56"/>
      <c r="B117" s="72" t="s">
        <v>93</v>
      </c>
      <c r="C117" s="46" t="s">
        <v>98</v>
      </c>
      <c r="D117" s="78" t="s">
        <v>99</v>
      </c>
      <c r="E117" s="79"/>
      <c r="F117" s="79"/>
      <c r="G117" s="49" t="s">
        <v>100</v>
      </c>
      <c r="H117" s="80">
        <v>45965.0</v>
      </c>
      <c r="I117" s="80">
        <v>45968.0</v>
      </c>
      <c r="J117" s="49" t="str">
        <f>IF(C117="","",NETWORKDAYS(H117,I117,Filter!D$2:D1000))</f>
        <v>#REF!</v>
      </c>
      <c r="K117" s="49" t="s">
        <v>101</v>
      </c>
      <c r="L117" s="65"/>
      <c r="M117" s="73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43"/>
      <c r="AX117" s="43"/>
      <c r="AY117" s="43"/>
      <c r="AZ117" s="43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3"/>
      <c r="CE117" s="54"/>
      <c r="CF117" s="4"/>
      <c r="CG117" s="4"/>
      <c r="CH117" s="4"/>
      <c r="CI117" s="55"/>
      <c r="CJ117" s="54"/>
      <c r="CK117" s="4"/>
      <c r="CL117" s="4"/>
      <c r="CM117" s="4"/>
      <c r="CN117" s="55"/>
      <c r="CO117" s="54"/>
      <c r="CP117" s="4"/>
      <c r="CQ117" s="4"/>
      <c r="CR117" s="4"/>
      <c r="CS117" s="55"/>
      <c r="CT117" s="54"/>
      <c r="CU117" s="4"/>
      <c r="CV117" s="4"/>
      <c r="CW117" s="4"/>
      <c r="CX117" s="55"/>
      <c r="CY117" s="54"/>
      <c r="CZ117" s="4"/>
      <c r="DA117" s="4"/>
      <c r="DB117" s="4"/>
      <c r="DC117" s="55"/>
      <c r="DD117" s="54"/>
      <c r="DE117" s="4"/>
      <c r="DF117" s="4"/>
      <c r="DG117" s="4"/>
      <c r="DH117" s="55"/>
      <c r="DI117" s="54"/>
      <c r="DJ117" s="4"/>
      <c r="DK117" s="4"/>
      <c r="DL117" s="4"/>
      <c r="DM117" s="55"/>
      <c r="DN117" s="54"/>
      <c r="DO117" s="4"/>
      <c r="DP117" s="4"/>
    </row>
    <row r="118">
      <c r="A118" s="56"/>
      <c r="B118" s="26"/>
      <c r="C118" s="46" t="s">
        <v>191</v>
      </c>
      <c r="D118" s="78" t="s">
        <v>192</v>
      </c>
      <c r="E118" s="79"/>
      <c r="F118" s="79"/>
      <c r="G118" s="49" t="s">
        <v>100</v>
      </c>
      <c r="H118" s="80">
        <v>45967.0</v>
      </c>
      <c r="I118" s="80">
        <v>45968.0</v>
      </c>
      <c r="J118" s="47"/>
      <c r="K118" s="49" t="s">
        <v>101</v>
      </c>
      <c r="L118" s="65"/>
      <c r="M118" s="73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43"/>
      <c r="AZ118" s="43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3"/>
      <c r="CE118" s="54"/>
      <c r="CF118" s="4"/>
      <c r="CG118" s="4"/>
      <c r="CH118" s="4"/>
      <c r="CI118" s="55"/>
      <c r="CJ118" s="54"/>
      <c r="CK118" s="4"/>
      <c r="CL118" s="4"/>
      <c r="CM118" s="4"/>
      <c r="CN118" s="55"/>
      <c r="CO118" s="54"/>
      <c r="CP118" s="4"/>
      <c r="CQ118" s="4"/>
      <c r="CR118" s="4"/>
      <c r="CS118" s="55"/>
      <c r="CT118" s="54"/>
      <c r="CU118" s="4"/>
      <c r="CV118" s="4"/>
      <c r="CW118" s="4"/>
      <c r="CX118" s="55"/>
      <c r="CY118" s="54"/>
      <c r="CZ118" s="4"/>
      <c r="DA118" s="4"/>
      <c r="DB118" s="4"/>
      <c r="DC118" s="55"/>
      <c r="DD118" s="54"/>
      <c r="DE118" s="4"/>
      <c r="DF118" s="4"/>
      <c r="DG118" s="4"/>
      <c r="DH118" s="55"/>
      <c r="DI118" s="54"/>
      <c r="DJ118" s="4"/>
      <c r="DK118" s="4"/>
      <c r="DL118" s="4"/>
      <c r="DM118" s="55"/>
      <c r="DN118" s="54"/>
      <c r="DO118" s="4"/>
      <c r="DP118" s="4"/>
    </row>
    <row r="119">
      <c r="A119" s="56"/>
      <c r="B119" s="72" t="s">
        <v>177</v>
      </c>
      <c r="C119" s="60" t="s">
        <v>178</v>
      </c>
      <c r="D119" s="78" t="s">
        <v>179</v>
      </c>
      <c r="E119" s="79"/>
      <c r="F119" s="79"/>
      <c r="G119" s="49" t="s">
        <v>37</v>
      </c>
      <c r="H119" s="80">
        <v>45967.0</v>
      </c>
      <c r="I119" s="80">
        <v>45968.0</v>
      </c>
      <c r="J119" s="49" t="str">
        <f>IF(C119="","",NETWORKDAYS(H119,I119,Filter!D$2:D1000))</f>
        <v>#REF!</v>
      </c>
      <c r="K119" s="49" t="s">
        <v>101</v>
      </c>
      <c r="L119" s="65"/>
      <c r="M119" s="73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43"/>
      <c r="AZ119" s="43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3"/>
      <c r="CE119" s="54"/>
      <c r="CF119" s="4"/>
      <c r="CG119" s="4"/>
      <c r="CH119" s="4"/>
      <c r="CI119" s="55"/>
      <c r="CJ119" s="54"/>
      <c r="CK119" s="4"/>
      <c r="CL119" s="4"/>
      <c r="CM119" s="4"/>
      <c r="CN119" s="55"/>
      <c r="CO119" s="54"/>
      <c r="CP119" s="4"/>
      <c r="CQ119" s="4"/>
      <c r="CR119" s="4"/>
      <c r="CS119" s="55"/>
      <c r="CT119" s="54"/>
      <c r="CU119" s="4"/>
      <c r="CV119" s="4"/>
      <c r="CW119" s="4"/>
      <c r="CX119" s="55"/>
      <c r="CY119" s="54"/>
      <c r="CZ119" s="4"/>
      <c r="DA119" s="4"/>
      <c r="DB119" s="4"/>
      <c r="DC119" s="55"/>
      <c r="DD119" s="54"/>
      <c r="DE119" s="4"/>
      <c r="DF119" s="4"/>
      <c r="DG119" s="4"/>
      <c r="DH119" s="55"/>
      <c r="DI119" s="54"/>
      <c r="DJ119" s="4"/>
      <c r="DK119" s="4"/>
      <c r="DL119" s="4"/>
      <c r="DM119" s="55"/>
      <c r="DN119" s="54"/>
      <c r="DO119" s="4"/>
      <c r="DP119" s="4"/>
    </row>
    <row r="120">
      <c r="A120" s="56"/>
      <c r="B120" s="26"/>
      <c r="C120" s="26"/>
      <c r="D120" s="78" t="s">
        <v>180</v>
      </c>
      <c r="E120" s="79"/>
      <c r="F120" s="79"/>
      <c r="G120" s="49" t="s">
        <v>37</v>
      </c>
      <c r="H120" s="80">
        <v>45967.0</v>
      </c>
      <c r="I120" s="80">
        <v>45968.0</v>
      </c>
      <c r="J120" s="47"/>
      <c r="K120" s="49" t="s">
        <v>101</v>
      </c>
      <c r="L120" s="65"/>
      <c r="M120" s="73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43"/>
      <c r="AZ120" s="43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3"/>
      <c r="CE120" s="54"/>
      <c r="CF120" s="4"/>
      <c r="CG120" s="4"/>
      <c r="CH120" s="4"/>
      <c r="CI120" s="55"/>
      <c r="CJ120" s="54"/>
      <c r="CK120" s="4"/>
      <c r="CL120" s="4"/>
      <c r="CM120" s="4"/>
      <c r="CN120" s="55"/>
      <c r="CO120" s="54"/>
      <c r="CP120" s="4"/>
      <c r="CQ120" s="4"/>
      <c r="CR120" s="4"/>
      <c r="CS120" s="55"/>
      <c r="CT120" s="54"/>
      <c r="CU120" s="4"/>
      <c r="CV120" s="4"/>
      <c r="CW120" s="4"/>
      <c r="CX120" s="55"/>
      <c r="CY120" s="54"/>
      <c r="CZ120" s="4"/>
      <c r="DA120" s="4"/>
      <c r="DB120" s="4"/>
      <c r="DC120" s="55"/>
      <c r="DD120" s="54"/>
      <c r="DE120" s="4"/>
      <c r="DF120" s="4"/>
      <c r="DG120" s="4"/>
      <c r="DH120" s="55"/>
      <c r="DI120" s="54"/>
      <c r="DJ120" s="4"/>
      <c r="DK120" s="4"/>
      <c r="DL120" s="4"/>
      <c r="DM120" s="55"/>
      <c r="DN120" s="54"/>
      <c r="DO120" s="4"/>
      <c r="DP120" s="4"/>
    </row>
    <row r="121">
      <c r="A121" s="56"/>
      <c r="B121" s="72" t="s">
        <v>139</v>
      </c>
      <c r="C121" s="46" t="s">
        <v>193</v>
      </c>
      <c r="D121" s="83" t="s">
        <v>194</v>
      </c>
      <c r="E121" s="79"/>
      <c r="F121" s="79"/>
      <c r="G121" s="49" t="s">
        <v>64</v>
      </c>
      <c r="H121" s="80">
        <v>45966.0</v>
      </c>
      <c r="I121" s="80">
        <v>45968.0</v>
      </c>
      <c r="J121" s="49" t="str">
        <f>IF(C121="","",NETWORKDAYS(H121,I121,Filter!D$2:D1000))</f>
        <v>#REF!</v>
      </c>
      <c r="K121" s="49" t="s">
        <v>14</v>
      </c>
      <c r="L121" s="65"/>
      <c r="M121" s="73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43"/>
      <c r="AY121" s="43"/>
      <c r="AZ121" s="43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3"/>
      <c r="CE121" s="54"/>
      <c r="CF121" s="4"/>
      <c r="CG121" s="4"/>
      <c r="CH121" s="4"/>
      <c r="CI121" s="55"/>
      <c r="CJ121" s="54"/>
      <c r="CK121" s="4"/>
      <c r="CL121" s="4"/>
      <c r="CM121" s="4"/>
      <c r="CN121" s="55"/>
      <c r="CO121" s="54"/>
      <c r="CP121" s="4"/>
      <c r="CQ121" s="4"/>
      <c r="CR121" s="4"/>
      <c r="CS121" s="55"/>
      <c r="CT121" s="54"/>
      <c r="CU121" s="4"/>
      <c r="CV121" s="4"/>
      <c r="CW121" s="4"/>
      <c r="CX121" s="55"/>
      <c r="CY121" s="54"/>
      <c r="CZ121" s="4"/>
      <c r="DA121" s="4"/>
      <c r="DB121" s="4"/>
      <c r="DC121" s="55"/>
      <c r="DD121" s="54"/>
      <c r="DE121" s="4"/>
      <c r="DF121" s="4"/>
      <c r="DG121" s="4"/>
      <c r="DH121" s="55"/>
      <c r="DI121" s="54"/>
      <c r="DJ121" s="4"/>
      <c r="DK121" s="4"/>
      <c r="DL121" s="4"/>
      <c r="DM121" s="55"/>
      <c r="DN121" s="54"/>
      <c r="DO121" s="4"/>
      <c r="DP121" s="4"/>
    </row>
    <row r="122">
      <c r="A122" s="56"/>
      <c r="B122" s="56"/>
      <c r="C122" s="46" t="s">
        <v>172</v>
      </c>
      <c r="D122" s="78" t="s">
        <v>195</v>
      </c>
      <c r="E122" s="79"/>
      <c r="F122" s="79"/>
      <c r="G122" s="49" t="s">
        <v>107</v>
      </c>
      <c r="H122" s="80">
        <v>45965.0</v>
      </c>
      <c r="I122" s="80">
        <v>45965.0</v>
      </c>
      <c r="J122" s="47"/>
      <c r="K122" s="49" t="s">
        <v>14</v>
      </c>
      <c r="L122" s="65"/>
      <c r="M122" s="73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43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3"/>
      <c r="CE122" s="54"/>
      <c r="CF122" s="4"/>
      <c r="CG122" s="4"/>
      <c r="CH122" s="4"/>
      <c r="CI122" s="55"/>
      <c r="CJ122" s="54"/>
      <c r="CK122" s="4"/>
      <c r="CL122" s="4"/>
      <c r="CM122" s="4"/>
      <c r="CN122" s="55"/>
      <c r="CO122" s="54"/>
      <c r="CP122" s="4"/>
      <c r="CQ122" s="4"/>
      <c r="CR122" s="4"/>
      <c r="CS122" s="55"/>
      <c r="CT122" s="54"/>
      <c r="CU122" s="4"/>
      <c r="CV122" s="4"/>
      <c r="CW122" s="4"/>
      <c r="CX122" s="55"/>
      <c r="CY122" s="54"/>
      <c r="CZ122" s="4"/>
      <c r="DA122" s="4"/>
      <c r="DB122" s="4"/>
      <c r="DC122" s="55"/>
      <c r="DD122" s="54"/>
      <c r="DE122" s="4"/>
      <c r="DF122" s="4"/>
      <c r="DG122" s="4"/>
      <c r="DH122" s="55"/>
      <c r="DI122" s="54"/>
      <c r="DJ122" s="4"/>
      <c r="DK122" s="4"/>
      <c r="DL122" s="4"/>
      <c r="DM122" s="55"/>
      <c r="DN122" s="54"/>
      <c r="DO122" s="4"/>
      <c r="DP122" s="4"/>
    </row>
    <row r="123">
      <c r="A123" s="56"/>
      <c r="B123" s="56"/>
      <c r="C123" s="46" t="s">
        <v>196</v>
      </c>
      <c r="D123" s="78" t="s">
        <v>197</v>
      </c>
      <c r="E123" s="79"/>
      <c r="F123" s="79"/>
      <c r="G123" s="49" t="s">
        <v>64</v>
      </c>
      <c r="H123" s="80">
        <v>45965.0</v>
      </c>
      <c r="I123" s="80">
        <v>45967.0</v>
      </c>
      <c r="J123" s="47"/>
      <c r="K123" s="49" t="s">
        <v>14</v>
      </c>
      <c r="L123" s="65"/>
      <c r="M123" s="73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43"/>
      <c r="AX123" s="43"/>
      <c r="AY123" s="43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3"/>
      <c r="CE123" s="54"/>
      <c r="CF123" s="4"/>
      <c r="CG123" s="4"/>
      <c r="CH123" s="4"/>
      <c r="CI123" s="55"/>
      <c r="CJ123" s="54"/>
      <c r="CK123" s="4"/>
      <c r="CL123" s="4"/>
      <c r="CM123" s="4"/>
      <c r="CN123" s="55"/>
      <c r="CO123" s="54"/>
      <c r="CP123" s="4"/>
      <c r="CQ123" s="4"/>
      <c r="CR123" s="4"/>
      <c r="CS123" s="55"/>
      <c r="CT123" s="54"/>
      <c r="CU123" s="4"/>
      <c r="CV123" s="4"/>
      <c r="CW123" s="4"/>
      <c r="CX123" s="55"/>
      <c r="CY123" s="54"/>
      <c r="CZ123" s="4"/>
      <c r="DA123" s="4"/>
      <c r="DB123" s="4"/>
      <c r="DC123" s="55"/>
      <c r="DD123" s="54"/>
      <c r="DE123" s="4"/>
      <c r="DF123" s="4"/>
      <c r="DG123" s="4"/>
      <c r="DH123" s="55"/>
      <c r="DI123" s="54"/>
      <c r="DJ123" s="4"/>
      <c r="DK123" s="4"/>
      <c r="DL123" s="4"/>
      <c r="DM123" s="55"/>
      <c r="DN123" s="54"/>
      <c r="DO123" s="4"/>
      <c r="DP123" s="4"/>
    </row>
    <row r="124">
      <c r="A124" s="56"/>
      <c r="B124" s="56"/>
      <c r="C124" s="46" t="s">
        <v>198</v>
      </c>
      <c r="D124" s="78" t="s">
        <v>199</v>
      </c>
      <c r="E124" s="79"/>
      <c r="F124" s="79"/>
      <c r="G124" s="49" t="s">
        <v>112</v>
      </c>
      <c r="H124" s="80">
        <v>45965.0</v>
      </c>
      <c r="I124" s="80">
        <v>45965.0</v>
      </c>
      <c r="J124" s="47"/>
      <c r="K124" s="49" t="s">
        <v>14</v>
      </c>
      <c r="L124" s="65"/>
      <c r="M124" s="73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43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3"/>
      <c r="CE124" s="54"/>
      <c r="CF124" s="4"/>
      <c r="CG124" s="4"/>
      <c r="CH124" s="4"/>
      <c r="CI124" s="55"/>
      <c r="CJ124" s="54"/>
      <c r="CK124" s="4"/>
      <c r="CL124" s="4"/>
      <c r="CM124" s="4"/>
      <c r="CN124" s="55"/>
      <c r="CO124" s="54"/>
      <c r="CP124" s="4"/>
      <c r="CQ124" s="4"/>
      <c r="CR124" s="4"/>
      <c r="CS124" s="55"/>
      <c r="CT124" s="54"/>
      <c r="CU124" s="4"/>
      <c r="CV124" s="4"/>
      <c r="CW124" s="4"/>
      <c r="CX124" s="55"/>
      <c r="CY124" s="54"/>
      <c r="CZ124" s="4"/>
      <c r="DA124" s="4"/>
      <c r="DB124" s="4"/>
      <c r="DC124" s="55"/>
      <c r="DD124" s="54"/>
      <c r="DE124" s="4"/>
      <c r="DF124" s="4"/>
      <c r="DG124" s="4"/>
      <c r="DH124" s="55"/>
      <c r="DI124" s="54"/>
      <c r="DJ124" s="4"/>
      <c r="DK124" s="4"/>
      <c r="DL124" s="4"/>
      <c r="DM124" s="55"/>
      <c r="DN124" s="54"/>
      <c r="DO124" s="4"/>
      <c r="DP124" s="4"/>
    </row>
    <row r="125">
      <c r="A125" s="56"/>
      <c r="B125" s="56"/>
      <c r="C125" s="60" t="s">
        <v>130</v>
      </c>
      <c r="D125" s="83" t="s">
        <v>200</v>
      </c>
      <c r="E125" s="79"/>
      <c r="F125" s="79"/>
      <c r="G125" s="49" t="s">
        <v>112</v>
      </c>
      <c r="H125" s="80">
        <v>45965.0</v>
      </c>
      <c r="I125" s="80">
        <v>45965.0</v>
      </c>
      <c r="J125" s="47"/>
      <c r="K125" s="49" t="s">
        <v>14</v>
      </c>
      <c r="L125" s="65"/>
      <c r="M125" s="73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43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3"/>
      <c r="CE125" s="54"/>
      <c r="CF125" s="4"/>
      <c r="CG125" s="4"/>
      <c r="CH125" s="4"/>
      <c r="CI125" s="55"/>
      <c r="CJ125" s="54"/>
      <c r="CK125" s="4"/>
      <c r="CL125" s="4"/>
      <c r="CM125" s="4"/>
      <c r="CN125" s="55"/>
      <c r="CO125" s="54"/>
      <c r="CP125" s="4"/>
      <c r="CQ125" s="4"/>
      <c r="CR125" s="4"/>
      <c r="CS125" s="55"/>
      <c r="CT125" s="54"/>
      <c r="CU125" s="4"/>
      <c r="CV125" s="4"/>
      <c r="CW125" s="4"/>
      <c r="CX125" s="55"/>
      <c r="CY125" s="54"/>
      <c r="CZ125" s="4"/>
      <c r="DA125" s="4"/>
      <c r="DB125" s="4"/>
      <c r="DC125" s="55"/>
      <c r="DD125" s="54"/>
      <c r="DE125" s="4"/>
      <c r="DF125" s="4"/>
      <c r="DG125" s="4"/>
      <c r="DH125" s="55"/>
      <c r="DI125" s="54"/>
      <c r="DJ125" s="4"/>
      <c r="DK125" s="4"/>
      <c r="DL125" s="4"/>
      <c r="DM125" s="55"/>
      <c r="DN125" s="54"/>
      <c r="DO125" s="4"/>
      <c r="DP125" s="4"/>
    </row>
    <row r="126">
      <c r="A126" s="56"/>
      <c r="B126" s="56"/>
      <c r="C126" s="56"/>
      <c r="D126" s="83" t="s">
        <v>201</v>
      </c>
      <c r="E126" s="79"/>
      <c r="F126" s="79"/>
      <c r="G126" s="49" t="s">
        <v>112</v>
      </c>
      <c r="H126" s="80">
        <v>45966.0</v>
      </c>
      <c r="I126" s="80">
        <v>45966.0</v>
      </c>
      <c r="J126" s="47"/>
      <c r="K126" s="49" t="s">
        <v>14</v>
      </c>
      <c r="L126" s="65"/>
      <c r="M126" s="73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43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3"/>
      <c r="CE126" s="54"/>
      <c r="CF126" s="4"/>
      <c r="CG126" s="4"/>
      <c r="CH126" s="4"/>
      <c r="CI126" s="55"/>
      <c r="CJ126" s="54"/>
      <c r="CK126" s="4"/>
      <c r="CL126" s="4"/>
      <c r="CM126" s="4"/>
      <c r="CN126" s="55"/>
      <c r="CO126" s="54"/>
      <c r="CP126" s="4"/>
      <c r="CQ126" s="4"/>
      <c r="CR126" s="4"/>
      <c r="CS126" s="55"/>
      <c r="CT126" s="54"/>
      <c r="CU126" s="4"/>
      <c r="CV126" s="4"/>
      <c r="CW126" s="4"/>
      <c r="CX126" s="55"/>
      <c r="CY126" s="54"/>
      <c r="CZ126" s="4"/>
      <c r="DA126" s="4"/>
      <c r="DB126" s="4"/>
      <c r="DC126" s="55"/>
      <c r="DD126" s="54"/>
      <c r="DE126" s="4"/>
      <c r="DF126" s="4"/>
      <c r="DG126" s="4"/>
      <c r="DH126" s="55"/>
      <c r="DI126" s="54"/>
      <c r="DJ126" s="4"/>
      <c r="DK126" s="4"/>
      <c r="DL126" s="4"/>
      <c r="DM126" s="55"/>
      <c r="DN126" s="54"/>
      <c r="DO126" s="4"/>
      <c r="DP126" s="4"/>
    </row>
    <row r="127">
      <c r="A127" s="56"/>
      <c r="B127" s="56"/>
      <c r="C127" s="26"/>
      <c r="D127" s="83" t="s">
        <v>202</v>
      </c>
      <c r="E127" s="79"/>
      <c r="F127" s="79"/>
      <c r="G127" s="49" t="s">
        <v>112</v>
      </c>
      <c r="H127" s="80">
        <v>45966.0</v>
      </c>
      <c r="I127" s="80">
        <v>45966.0</v>
      </c>
      <c r="J127" s="47"/>
      <c r="K127" s="49" t="s">
        <v>14</v>
      </c>
      <c r="L127" s="65"/>
      <c r="M127" s="73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43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3"/>
      <c r="CE127" s="54"/>
      <c r="CF127" s="4"/>
      <c r="CG127" s="4"/>
      <c r="CH127" s="4"/>
      <c r="CI127" s="55"/>
      <c r="CJ127" s="54"/>
      <c r="CK127" s="4"/>
      <c r="CL127" s="4"/>
      <c r="CM127" s="4"/>
      <c r="CN127" s="55"/>
      <c r="CO127" s="54"/>
      <c r="CP127" s="4"/>
      <c r="CQ127" s="4"/>
      <c r="CR127" s="4"/>
      <c r="CS127" s="55"/>
      <c r="CT127" s="54"/>
      <c r="CU127" s="4"/>
      <c r="CV127" s="4"/>
      <c r="CW127" s="4"/>
      <c r="CX127" s="55"/>
      <c r="CY127" s="54"/>
      <c r="CZ127" s="4"/>
      <c r="DA127" s="4"/>
      <c r="DB127" s="4"/>
      <c r="DC127" s="55"/>
      <c r="DD127" s="54"/>
      <c r="DE127" s="4"/>
      <c r="DF127" s="4"/>
      <c r="DG127" s="4"/>
      <c r="DH127" s="55"/>
      <c r="DI127" s="54"/>
      <c r="DJ127" s="4"/>
      <c r="DK127" s="4"/>
      <c r="DL127" s="4"/>
      <c r="DM127" s="55"/>
      <c r="DN127" s="54"/>
      <c r="DO127" s="4"/>
      <c r="DP127" s="4"/>
    </row>
    <row r="128">
      <c r="A128" s="56"/>
      <c r="B128" s="56"/>
      <c r="C128" s="60" t="s">
        <v>203</v>
      </c>
      <c r="D128" s="83" t="s">
        <v>161</v>
      </c>
      <c r="E128" s="79"/>
      <c r="F128" s="79"/>
      <c r="G128" s="49" t="s">
        <v>37</v>
      </c>
      <c r="H128" s="80">
        <v>45966.0</v>
      </c>
      <c r="I128" s="80">
        <v>45967.0</v>
      </c>
      <c r="J128" s="47"/>
      <c r="K128" s="49" t="s">
        <v>14</v>
      </c>
      <c r="L128" s="65"/>
      <c r="M128" s="73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43"/>
      <c r="AY128" s="43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3"/>
      <c r="CE128" s="54"/>
      <c r="CF128" s="4"/>
      <c r="CG128" s="4"/>
      <c r="CH128" s="4"/>
      <c r="CI128" s="55"/>
      <c r="CJ128" s="54"/>
      <c r="CK128" s="4"/>
      <c r="CL128" s="4"/>
      <c r="CM128" s="4"/>
      <c r="CN128" s="55"/>
      <c r="CO128" s="54"/>
      <c r="CP128" s="4"/>
      <c r="CQ128" s="4"/>
      <c r="CR128" s="4"/>
      <c r="CS128" s="55"/>
      <c r="CT128" s="54"/>
      <c r="CU128" s="4"/>
      <c r="CV128" s="4"/>
      <c r="CW128" s="4"/>
      <c r="CX128" s="55"/>
      <c r="CY128" s="54"/>
      <c r="CZ128" s="4"/>
      <c r="DA128" s="4"/>
      <c r="DB128" s="4"/>
      <c r="DC128" s="55"/>
      <c r="DD128" s="54"/>
      <c r="DE128" s="4"/>
      <c r="DF128" s="4"/>
      <c r="DG128" s="4"/>
      <c r="DH128" s="55"/>
      <c r="DI128" s="54"/>
      <c r="DJ128" s="4"/>
      <c r="DK128" s="4"/>
      <c r="DL128" s="4"/>
      <c r="DM128" s="55"/>
      <c r="DN128" s="54"/>
      <c r="DO128" s="4"/>
      <c r="DP128" s="4"/>
    </row>
    <row r="129">
      <c r="A129" s="26"/>
      <c r="B129" s="26"/>
      <c r="C129" s="26"/>
      <c r="D129" s="83" t="s">
        <v>162</v>
      </c>
      <c r="E129" s="79"/>
      <c r="F129" s="79"/>
      <c r="G129" s="49" t="s">
        <v>37</v>
      </c>
      <c r="H129" s="80">
        <v>45966.0</v>
      </c>
      <c r="I129" s="80">
        <v>45967.0</v>
      </c>
      <c r="J129" s="47" t="str">
        <f t="shared" ref="J129:J132" si="31">IF(C129="","",NETWORKDAYS(H129,I129,Filter!D$2:D1000))</f>
        <v/>
      </c>
      <c r="K129" s="49" t="s">
        <v>14</v>
      </c>
      <c r="L129" s="65"/>
      <c r="M129" s="73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43"/>
      <c r="AY129" s="43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3"/>
      <c r="CE129" s="54"/>
      <c r="CF129" s="4"/>
      <c r="CG129" s="4"/>
      <c r="CH129" s="4"/>
      <c r="CI129" s="55"/>
      <c r="CJ129" s="54"/>
      <c r="CK129" s="4"/>
      <c r="CL129" s="4"/>
      <c r="CM129" s="4"/>
      <c r="CN129" s="55"/>
      <c r="CO129" s="54"/>
      <c r="CP129" s="4"/>
      <c r="CQ129" s="4"/>
      <c r="CR129" s="4"/>
      <c r="CS129" s="55"/>
      <c r="CT129" s="54"/>
      <c r="CU129" s="4"/>
      <c r="CV129" s="4"/>
      <c r="CW129" s="4"/>
      <c r="CX129" s="55"/>
      <c r="CY129" s="54"/>
      <c r="CZ129" s="4"/>
      <c r="DA129" s="4"/>
      <c r="DB129" s="4"/>
      <c r="DC129" s="55"/>
      <c r="DD129" s="54"/>
      <c r="DE129" s="4"/>
      <c r="DF129" s="4"/>
      <c r="DG129" s="4"/>
      <c r="DH129" s="55"/>
      <c r="DI129" s="54"/>
      <c r="DJ129" s="4"/>
      <c r="DK129" s="4"/>
      <c r="DL129" s="4"/>
      <c r="DM129" s="55"/>
      <c r="DN129" s="54"/>
      <c r="DO129" s="4"/>
      <c r="DP129" s="4"/>
    </row>
    <row r="130">
      <c r="A130" s="34" t="s">
        <v>204</v>
      </c>
      <c r="B130" s="35"/>
      <c r="C130" s="35"/>
      <c r="D130" s="36"/>
      <c r="E130" s="36"/>
      <c r="F130" s="37"/>
      <c r="G130" s="77"/>
      <c r="H130" s="39">
        <v>45971.0</v>
      </c>
      <c r="I130" s="39">
        <v>45975.0</v>
      </c>
      <c r="J130" s="36" t="str">
        <f t="shared" si="31"/>
        <v/>
      </c>
      <c r="K130" s="40" t="s">
        <v>14</v>
      </c>
      <c r="L130" s="41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3"/>
      <c r="BB130" s="43"/>
      <c r="BC130" s="43"/>
      <c r="BD130" s="43"/>
      <c r="BE130" s="43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</row>
    <row r="131">
      <c r="A131" s="44" t="s">
        <v>205</v>
      </c>
      <c r="B131" s="75" t="s">
        <v>28</v>
      </c>
      <c r="C131" s="46" t="s">
        <v>206</v>
      </c>
      <c r="D131" s="78" t="s">
        <v>207</v>
      </c>
      <c r="E131" s="79"/>
      <c r="F131" s="79"/>
      <c r="G131" s="49" t="s">
        <v>18</v>
      </c>
      <c r="H131" s="80">
        <v>45971.0</v>
      </c>
      <c r="I131" s="80">
        <v>45972.0</v>
      </c>
      <c r="J131" s="49" t="str">
        <f t="shared" si="31"/>
        <v>#REF!</v>
      </c>
      <c r="K131" s="49" t="s">
        <v>14</v>
      </c>
      <c r="L131" s="65"/>
      <c r="M131" s="73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43"/>
      <c r="BB131" s="43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3"/>
      <c r="CE131" s="54"/>
      <c r="CF131" s="4"/>
      <c r="CG131" s="4"/>
      <c r="CH131" s="4"/>
      <c r="CI131" s="55"/>
      <c r="CJ131" s="54"/>
      <c r="CK131" s="4"/>
      <c r="CL131" s="4"/>
      <c r="CM131" s="4"/>
      <c r="CN131" s="55"/>
      <c r="CO131" s="54"/>
      <c r="CP131" s="4"/>
      <c r="CQ131" s="4"/>
      <c r="CR131" s="4"/>
      <c r="CS131" s="55"/>
      <c r="CT131" s="54"/>
      <c r="CU131" s="4"/>
      <c r="CV131" s="4"/>
      <c r="CW131" s="4"/>
      <c r="CX131" s="55"/>
      <c r="CY131" s="54"/>
      <c r="CZ131" s="4"/>
      <c r="DA131" s="4"/>
      <c r="DB131" s="4"/>
      <c r="DC131" s="55"/>
      <c r="DD131" s="54"/>
      <c r="DE131" s="4"/>
      <c r="DF131" s="4"/>
      <c r="DG131" s="4"/>
      <c r="DH131" s="55"/>
      <c r="DI131" s="54"/>
      <c r="DJ131" s="4"/>
      <c r="DK131" s="4"/>
      <c r="DL131" s="4"/>
      <c r="DM131" s="55"/>
      <c r="DN131" s="54"/>
      <c r="DO131" s="4"/>
      <c r="DP131" s="4"/>
    </row>
    <row r="132">
      <c r="A132" s="56"/>
      <c r="B132" s="72" t="s">
        <v>93</v>
      </c>
      <c r="C132" s="46" t="s">
        <v>98</v>
      </c>
      <c r="D132" s="78" t="s">
        <v>99</v>
      </c>
      <c r="E132" s="79"/>
      <c r="F132" s="79"/>
      <c r="G132" s="49" t="s">
        <v>100</v>
      </c>
      <c r="H132" s="80">
        <v>45972.0</v>
      </c>
      <c r="I132" s="80">
        <v>45972.0</v>
      </c>
      <c r="J132" s="49" t="str">
        <f t="shared" si="31"/>
        <v>#REF!</v>
      </c>
      <c r="K132" s="49" t="s">
        <v>14</v>
      </c>
      <c r="L132" s="65"/>
      <c r="M132" s="73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43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3"/>
      <c r="CE132" s="54"/>
      <c r="CF132" s="4"/>
      <c r="CG132" s="4"/>
      <c r="CH132" s="4"/>
      <c r="CI132" s="55"/>
      <c r="CJ132" s="54"/>
      <c r="CK132" s="4"/>
      <c r="CL132" s="4"/>
      <c r="CM132" s="4"/>
      <c r="CN132" s="55"/>
      <c r="CO132" s="54"/>
      <c r="CP132" s="4"/>
      <c r="CQ132" s="4"/>
      <c r="CR132" s="4"/>
      <c r="CS132" s="55"/>
      <c r="CT132" s="54"/>
      <c r="CU132" s="4"/>
      <c r="CV132" s="4"/>
      <c r="CW132" s="4"/>
      <c r="CX132" s="55"/>
      <c r="CY132" s="54"/>
      <c r="CZ132" s="4"/>
      <c r="DA132" s="4"/>
      <c r="DB132" s="4"/>
      <c r="DC132" s="55"/>
      <c r="DD132" s="54"/>
      <c r="DE132" s="4"/>
      <c r="DF132" s="4"/>
      <c r="DG132" s="4"/>
      <c r="DH132" s="55"/>
      <c r="DI132" s="54"/>
      <c r="DJ132" s="4"/>
      <c r="DK132" s="4"/>
      <c r="DL132" s="4"/>
      <c r="DM132" s="55"/>
      <c r="DN132" s="54"/>
      <c r="DO132" s="4"/>
      <c r="DP132" s="4"/>
    </row>
    <row r="133">
      <c r="A133" s="56"/>
      <c r="B133" s="26"/>
      <c r="C133" s="46" t="s">
        <v>191</v>
      </c>
      <c r="D133" s="78" t="s">
        <v>192</v>
      </c>
      <c r="E133" s="79"/>
      <c r="F133" s="79"/>
      <c r="G133" s="49" t="s">
        <v>100</v>
      </c>
      <c r="H133" s="80">
        <v>45972.0</v>
      </c>
      <c r="I133" s="80">
        <v>45972.0</v>
      </c>
      <c r="J133" s="47"/>
      <c r="K133" s="49" t="s">
        <v>14</v>
      </c>
      <c r="L133" s="65"/>
      <c r="M133" s="73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43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3"/>
      <c r="CE133" s="54"/>
      <c r="CF133" s="4"/>
      <c r="CG133" s="4"/>
      <c r="CH133" s="4"/>
      <c r="CI133" s="55"/>
      <c r="CJ133" s="54"/>
      <c r="CK133" s="4"/>
      <c r="CL133" s="4"/>
      <c r="CM133" s="4"/>
      <c r="CN133" s="55"/>
      <c r="CO133" s="54"/>
      <c r="CP133" s="4"/>
      <c r="CQ133" s="4"/>
      <c r="CR133" s="4"/>
      <c r="CS133" s="55"/>
      <c r="CT133" s="54"/>
      <c r="CU133" s="4"/>
      <c r="CV133" s="4"/>
      <c r="CW133" s="4"/>
      <c r="CX133" s="55"/>
      <c r="CY133" s="54"/>
      <c r="CZ133" s="4"/>
      <c r="DA133" s="4"/>
      <c r="DB133" s="4"/>
      <c r="DC133" s="55"/>
      <c r="DD133" s="54"/>
      <c r="DE133" s="4"/>
      <c r="DF133" s="4"/>
      <c r="DG133" s="4"/>
      <c r="DH133" s="55"/>
      <c r="DI133" s="54"/>
      <c r="DJ133" s="4"/>
      <c r="DK133" s="4"/>
      <c r="DL133" s="4"/>
      <c r="DM133" s="55"/>
      <c r="DN133" s="54"/>
      <c r="DO133" s="4"/>
      <c r="DP133" s="4"/>
    </row>
    <row r="134">
      <c r="A134" s="56"/>
      <c r="B134" s="72" t="s">
        <v>177</v>
      </c>
      <c r="C134" s="60" t="s">
        <v>178</v>
      </c>
      <c r="D134" s="78" t="s">
        <v>179</v>
      </c>
      <c r="E134" s="79"/>
      <c r="F134" s="79"/>
      <c r="G134" s="49" t="s">
        <v>37</v>
      </c>
      <c r="H134" s="80">
        <v>45975.0</v>
      </c>
      <c r="I134" s="80">
        <v>45975.0</v>
      </c>
      <c r="J134" s="49" t="str">
        <f>IF(C134="","",NETWORKDAYS(H134,I134,Filter!D$2:D1000))</f>
        <v>#REF!</v>
      </c>
      <c r="K134" s="49" t="s">
        <v>14</v>
      </c>
      <c r="L134" s="65"/>
      <c r="M134" s="73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43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3"/>
      <c r="CE134" s="54"/>
      <c r="CF134" s="4"/>
      <c r="CG134" s="4"/>
      <c r="CH134" s="4"/>
      <c r="CI134" s="55"/>
      <c r="CJ134" s="54"/>
      <c r="CK134" s="4"/>
      <c r="CL134" s="4"/>
      <c r="CM134" s="4"/>
      <c r="CN134" s="55"/>
      <c r="CO134" s="54"/>
      <c r="CP134" s="4"/>
      <c r="CQ134" s="4"/>
      <c r="CR134" s="4"/>
      <c r="CS134" s="55"/>
      <c r="CT134" s="54"/>
      <c r="CU134" s="4"/>
      <c r="CV134" s="4"/>
      <c r="CW134" s="4"/>
      <c r="CX134" s="55"/>
      <c r="CY134" s="54"/>
      <c r="CZ134" s="4"/>
      <c r="DA134" s="4"/>
      <c r="DB134" s="4"/>
      <c r="DC134" s="55"/>
      <c r="DD134" s="54"/>
      <c r="DE134" s="4"/>
      <c r="DF134" s="4"/>
      <c r="DG134" s="4"/>
      <c r="DH134" s="55"/>
      <c r="DI134" s="54"/>
      <c r="DJ134" s="4"/>
      <c r="DK134" s="4"/>
      <c r="DL134" s="4"/>
      <c r="DM134" s="55"/>
      <c r="DN134" s="54"/>
      <c r="DO134" s="4"/>
      <c r="DP134" s="4"/>
    </row>
    <row r="135">
      <c r="A135" s="56"/>
      <c r="B135" s="26"/>
      <c r="C135" s="26"/>
      <c r="D135" s="78" t="s">
        <v>180</v>
      </c>
      <c r="E135" s="79"/>
      <c r="F135" s="79"/>
      <c r="G135" s="49" t="s">
        <v>37</v>
      </c>
      <c r="H135" s="80">
        <v>45975.0</v>
      </c>
      <c r="I135" s="80">
        <v>45975.0</v>
      </c>
      <c r="J135" s="47"/>
      <c r="K135" s="49" t="s">
        <v>14</v>
      </c>
      <c r="L135" s="65"/>
      <c r="M135" s="73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43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3"/>
      <c r="CE135" s="54"/>
      <c r="CF135" s="4"/>
      <c r="CG135" s="4"/>
      <c r="CH135" s="4"/>
      <c r="CI135" s="55"/>
      <c r="CJ135" s="54"/>
      <c r="CK135" s="4"/>
      <c r="CL135" s="4"/>
      <c r="CM135" s="4"/>
      <c r="CN135" s="55"/>
      <c r="CO135" s="54"/>
      <c r="CP135" s="4"/>
      <c r="CQ135" s="4"/>
      <c r="CR135" s="4"/>
      <c r="CS135" s="55"/>
      <c r="CT135" s="54"/>
      <c r="CU135" s="4"/>
      <c r="CV135" s="4"/>
      <c r="CW135" s="4"/>
      <c r="CX135" s="55"/>
      <c r="CY135" s="54"/>
      <c r="CZ135" s="4"/>
      <c r="DA135" s="4"/>
      <c r="DB135" s="4"/>
      <c r="DC135" s="55"/>
      <c r="DD135" s="54"/>
      <c r="DE135" s="4"/>
      <c r="DF135" s="4"/>
      <c r="DG135" s="4"/>
      <c r="DH135" s="55"/>
      <c r="DI135" s="54"/>
      <c r="DJ135" s="4"/>
      <c r="DK135" s="4"/>
      <c r="DL135" s="4"/>
      <c r="DM135" s="55"/>
      <c r="DN135" s="54"/>
      <c r="DO135" s="4"/>
      <c r="DP135" s="4"/>
    </row>
    <row r="136">
      <c r="A136" s="56"/>
      <c r="B136" s="72" t="s">
        <v>139</v>
      </c>
      <c r="C136" s="46" t="s">
        <v>174</v>
      </c>
      <c r="D136" s="78" t="s">
        <v>208</v>
      </c>
      <c r="E136" s="79"/>
      <c r="F136" s="79"/>
      <c r="G136" s="49" t="s">
        <v>107</v>
      </c>
      <c r="H136" s="80">
        <v>45972.0</v>
      </c>
      <c r="I136" s="80">
        <v>45972.0</v>
      </c>
      <c r="J136" s="49" t="str">
        <f>IF(C136="","",NETWORKDAYS(H136,I136,Filter!D$2:D1000))</f>
        <v>#REF!</v>
      </c>
      <c r="K136" s="49" t="s">
        <v>14</v>
      </c>
      <c r="L136" s="65"/>
      <c r="M136" s="73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43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3"/>
      <c r="CE136" s="54"/>
      <c r="CF136" s="4"/>
      <c r="CG136" s="4"/>
      <c r="CH136" s="4"/>
      <c r="CI136" s="55"/>
      <c r="CJ136" s="54"/>
      <c r="CK136" s="4"/>
      <c r="CL136" s="4"/>
      <c r="CM136" s="4"/>
      <c r="CN136" s="55"/>
      <c r="CO136" s="54"/>
      <c r="CP136" s="4"/>
      <c r="CQ136" s="4"/>
      <c r="CR136" s="4"/>
      <c r="CS136" s="55"/>
      <c r="CT136" s="54"/>
      <c r="CU136" s="4"/>
      <c r="CV136" s="4"/>
      <c r="CW136" s="4"/>
      <c r="CX136" s="55"/>
      <c r="CY136" s="54"/>
      <c r="CZ136" s="4"/>
      <c r="DA136" s="4"/>
      <c r="DB136" s="4"/>
      <c r="DC136" s="55"/>
      <c r="DD136" s="54"/>
      <c r="DE136" s="4"/>
      <c r="DF136" s="4"/>
      <c r="DG136" s="4"/>
      <c r="DH136" s="55"/>
      <c r="DI136" s="54"/>
      <c r="DJ136" s="4"/>
      <c r="DK136" s="4"/>
      <c r="DL136" s="4"/>
      <c r="DM136" s="55"/>
      <c r="DN136" s="54"/>
      <c r="DO136" s="4"/>
      <c r="DP136" s="4"/>
    </row>
    <row r="137">
      <c r="A137" s="56"/>
      <c r="B137" s="56"/>
      <c r="C137" s="46" t="s">
        <v>209</v>
      </c>
      <c r="D137" s="83" t="s">
        <v>210</v>
      </c>
      <c r="E137" s="79"/>
      <c r="F137" s="79"/>
      <c r="G137" s="49" t="s">
        <v>107</v>
      </c>
      <c r="H137" s="80">
        <v>45971.0</v>
      </c>
      <c r="I137" s="80">
        <v>45971.0</v>
      </c>
      <c r="J137" s="47"/>
      <c r="K137" s="49" t="s">
        <v>14</v>
      </c>
      <c r="L137" s="65"/>
      <c r="M137" s="73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43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3"/>
      <c r="CE137" s="54"/>
      <c r="CF137" s="4"/>
      <c r="CG137" s="4"/>
      <c r="CH137" s="4"/>
      <c r="CI137" s="55"/>
      <c r="CJ137" s="54"/>
      <c r="CK137" s="4"/>
      <c r="CL137" s="4"/>
      <c r="CM137" s="4"/>
      <c r="CN137" s="55"/>
      <c r="CO137" s="54"/>
      <c r="CP137" s="4"/>
      <c r="CQ137" s="4"/>
      <c r="CR137" s="4"/>
      <c r="CS137" s="55"/>
      <c r="CT137" s="54"/>
      <c r="CU137" s="4"/>
      <c r="CV137" s="4"/>
      <c r="CW137" s="4"/>
      <c r="CX137" s="55"/>
      <c r="CY137" s="54"/>
      <c r="CZ137" s="4"/>
      <c r="DA137" s="4"/>
      <c r="DB137" s="4"/>
      <c r="DC137" s="55"/>
      <c r="DD137" s="54"/>
      <c r="DE137" s="4"/>
      <c r="DF137" s="4"/>
      <c r="DG137" s="4"/>
      <c r="DH137" s="55"/>
      <c r="DI137" s="54"/>
      <c r="DJ137" s="4"/>
      <c r="DK137" s="4"/>
      <c r="DL137" s="4"/>
      <c r="DM137" s="55"/>
      <c r="DN137" s="54"/>
      <c r="DO137" s="4"/>
      <c r="DP137" s="4"/>
    </row>
    <row r="138">
      <c r="A138" s="56"/>
      <c r="B138" s="56"/>
      <c r="C138" s="46" t="s">
        <v>211</v>
      </c>
      <c r="D138" s="83" t="s">
        <v>212</v>
      </c>
      <c r="E138" s="79"/>
      <c r="F138" s="79"/>
      <c r="G138" s="49" t="s">
        <v>64</v>
      </c>
      <c r="H138" s="80">
        <v>45971.0</v>
      </c>
      <c r="I138" s="80">
        <v>45971.0</v>
      </c>
      <c r="J138" s="47"/>
      <c r="K138" s="49" t="s">
        <v>14</v>
      </c>
      <c r="L138" s="65"/>
      <c r="M138" s="73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43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3"/>
      <c r="CE138" s="54"/>
      <c r="CF138" s="4"/>
      <c r="CG138" s="4"/>
      <c r="CH138" s="4"/>
      <c r="CI138" s="55"/>
      <c r="CJ138" s="54"/>
      <c r="CK138" s="4"/>
      <c r="CL138" s="4"/>
      <c r="CM138" s="4"/>
      <c r="CN138" s="55"/>
      <c r="CO138" s="54"/>
      <c r="CP138" s="4"/>
      <c r="CQ138" s="4"/>
      <c r="CR138" s="4"/>
      <c r="CS138" s="55"/>
      <c r="CT138" s="54"/>
      <c r="CU138" s="4"/>
      <c r="CV138" s="4"/>
      <c r="CW138" s="4"/>
      <c r="CX138" s="55"/>
      <c r="CY138" s="54"/>
      <c r="CZ138" s="4"/>
      <c r="DA138" s="4"/>
      <c r="DB138" s="4"/>
      <c r="DC138" s="55"/>
      <c r="DD138" s="54"/>
      <c r="DE138" s="4"/>
      <c r="DF138" s="4"/>
      <c r="DG138" s="4"/>
      <c r="DH138" s="55"/>
      <c r="DI138" s="54"/>
      <c r="DJ138" s="4"/>
      <c r="DK138" s="4"/>
      <c r="DL138" s="4"/>
      <c r="DM138" s="55"/>
      <c r="DN138" s="54"/>
      <c r="DO138" s="4"/>
      <c r="DP138" s="4"/>
    </row>
    <row r="139">
      <c r="A139" s="56"/>
      <c r="B139" s="56"/>
      <c r="C139" s="46" t="s">
        <v>211</v>
      </c>
      <c r="D139" s="83" t="s">
        <v>213</v>
      </c>
      <c r="E139" s="79"/>
      <c r="F139" s="79"/>
      <c r="G139" s="49" t="s">
        <v>107</v>
      </c>
      <c r="H139" s="80">
        <v>45971.0</v>
      </c>
      <c r="I139" s="80">
        <v>45972.0</v>
      </c>
      <c r="J139" s="47"/>
      <c r="K139" s="49" t="s">
        <v>14</v>
      </c>
      <c r="L139" s="65"/>
      <c r="M139" s="73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43"/>
      <c r="BB139" s="43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3"/>
      <c r="CE139" s="54"/>
      <c r="CF139" s="4"/>
      <c r="CG139" s="4"/>
      <c r="CH139" s="4"/>
      <c r="CI139" s="55"/>
      <c r="CJ139" s="54"/>
      <c r="CK139" s="4"/>
      <c r="CL139" s="4"/>
      <c r="CM139" s="4"/>
      <c r="CN139" s="55"/>
      <c r="CO139" s="54"/>
      <c r="CP139" s="4"/>
      <c r="CQ139" s="4"/>
      <c r="CR139" s="4"/>
      <c r="CS139" s="55"/>
      <c r="CT139" s="54"/>
      <c r="CU139" s="4"/>
      <c r="CV139" s="4"/>
      <c r="CW139" s="4"/>
      <c r="CX139" s="55"/>
      <c r="CY139" s="54"/>
      <c r="CZ139" s="4"/>
      <c r="DA139" s="4"/>
      <c r="DB139" s="4"/>
      <c r="DC139" s="55"/>
      <c r="DD139" s="54"/>
      <c r="DE139" s="4"/>
      <c r="DF139" s="4"/>
      <c r="DG139" s="4"/>
      <c r="DH139" s="55"/>
      <c r="DI139" s="54"/>
      <c r="DJ139" s="4"/>
      <c r="DK139" s="4"/>
      <c r="DL139" s="4"/>
      <c r="DM139" s="55"/>
      <c r="DN139" s="54"/>
      <c r="DO139" s="4"/>
      <c r="DP139" s="4"/>
    </row>
    <row r="140">
      <c r="A140" s="56"/>
      <c r="B140" s="56"/>
      <c r="C140" s="46" t="s">
        <v>214</v>
      </c>
      <c r="D140" s="83" t="s">
        <v>215</v>
      </c>
      <c r="E140" s="79"/>
      <c r="F140" s="79"/>
      <c r="G140" s="49" t="s">
        <v>122</v>
      </c>
      <c r="H140" s="80">
        <v>45973.0</v>
      </c>
      <c r="I140" s="80">
        <v>45973.0</v>
      </c>
      <c r="J140" s="47"/>
      <c r="K140" s="49" t="s">
        <v>101</v>
      </c>
      <c r="L140" s="65"/>
      <c r="M140" s="73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43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3"/>
      <c r="CE140" s="54"/>
      <c r="CF140" s="4"/>
      <c r="CG140" s="4"/>
      <c r="CH140" s="4"/>
      <c r="CI140" s="55"/>
      <c r="CJ140" s="54"/>
      <c r="CK140" s="4"/>
      <c r="CL140" s="4"/>
      <c r="CM140" s="4"/>
      <c r="CN140" s="55"/>
      <c r="CO140" s="54"/>
      <c r="CP140" s="4"/>
      <c r="CQ140" s="4"/>
      <c r="CR140" s="4"/>
      <c r="CS140" s="55"/>
      <c r="CT140" s="54"/>
      <c r="CU140" s="4"/>
      <c r="CV140" s="4"/>
      <c r="CW140" s="4"/>
      <c r="CX140" s="55"/>
      <c r="CY140" s="54"/>
      <c r="CZ140" s="4"/>
      <c r="DA140" s="4"/>
      <c r="DB140" s="4"/>
      <c r="DC140" s="55"/>
      <c r="DD140" s="54"/>
      <c r="DE140" s="4"/>
      <c r="DF140" s="4"/>
      <c r="DG140" s="4"/>
      <c r="DH140" s="55"/>
      <c r="DI140" s="54"/>
      <c r="DJ140" s="4"/>
      <c r="DK140" s="4"/>
      <c r="DL140" s="4"/>
      <c r="DM140" s="55"/>
      <c r="DN140" s="54"/>
      <c r="DO140" s="4"/>
      <c r="DP140" s="4"/>
    </row>
    <row r="141">
      <c r="A141" s="56"/>
      <c r="B141" s="56"/>
      <c r="C141" s="60" t="s">
        <v>203</v>
      </c>
      <c r="D141" s="83" t="s">
        <v>216</v>
      </c>
      <c r="E141" s="79"/>
      <c r="F141" s="79"/>
      <c r="G141" s="49" t="s">
        <v>122</v>
      </c>
      <c r="H141" s="80">
        <v>45971.0</v>
      </c>
      <c r="I141" s="80">
        <v>45971.0</v>
      </c>
      <c r="J141" s="49" t="str">
        <f>IF(C141="","",NETWORKDAYS(H141,I141,Filter!D$2:D1000))</f>
        <v>#REF!</v>
      </c>
      <c r="K141" s="49" t="s">
        <v>14</v>
      </c>
      <c r="L141" s="65"/>
      <c r="M141" s="73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43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3"/>
      <c r="CE141" s="54"/>
      <c r="CF141" s="4"/>
      <c r="CG141" s="4"/>
      <c r="CH141" s="4"/>
      <c r="CI141" s="55"/>
      <c r="CJ141" s="54"/>
      <c r="CK141" s="4"/>
      <c r="CL141" s="4"/>
      <c r="CM141" s="4"/>
      <c r="CN141" s="55"/>
      <c r="CO141" s="54"/>
      <c r="CP141" s="4"/>
      <c r="CQ141" s="4"/>
      <c r="CR141" s="4"/>
      <c r="CS141" s="55"/>
      <c r="CT141" s="54"/>
      <c r="CU141" s="4"/>
      <c r="CV141" s="4"/>
      <c r="CW141" s="4"/>
      <c r="CX141" s="55"/>
      <c r="CY141" s="54"/>
      <c r="CZ141" s="4"/>
      <c r="DA141" s="4"/>
      <c r="DB141" s="4"/>
      <c r="DC141" s="55"/>
      <c r="DD141" s="54"/>
      <c r="DE141" s="4"/>
      <c r="DF141" s="4"/>
      <c r="DG141" s="4"/>
      <c r="DH141" s="55"/>
      <c r="DI141" s="54"/>
      <c r="DJ141" s="4"/>
      <c r="DK141" s="4"/>
      <c r="DL141" s="4"/>
      <c r="DM141" s="55"/>
      <c r="DN141" s="54"/>
      <c r="DO141" s="4"/>
      <c r="DP141" s="4"/>
    </row>
    <row r="142">
      <c r="A142" s="56"/>
      <c r="B142" s="56"/>
      <c r="C142" s="56"/>
      <c r="D142" s="83" t="s">
        <v>217</v>
      </c>
      <c r="E142" s="79"/>
      <c r="F142" s="79"/>
      <c r="G142" s="49" t="s">
        <v>122</v>
      </c>
      <c r="H142" s="80">
        <v>45971.0</v>
      </c>
      <c r="I142" s="80">
        <v>45971.0</v>
      </c>
      <c r="J142" s="47"/>
      <c r="K142" s="49" t="s">
        <v>14</v>
      </c>
      <c r="L142" s="65"/>
      <c r="M142" s="73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43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3"/>
      <c r="CE142" s="54"/>
      <c r="CF142" s="4"/>
      <c r="CG142" s="4"/>
      <c r="CH142" s="4"/>
      <c r="CI142" s="55"/>
      <c r="CJ142" s="54"/>
      <c r="CK142" s="4"/>
      <c r="CL142" s="4"/>
      <c r="CM142" s="4"/>
      <c r="CN142" s="55"/>
      <c r="CO142" s="54"/>
      <c r="CP142" s="4"/>
      <c r="CQ142" s="4"/>
      <c r="CR142" s="4"/>
      <c r="CS142" s="55"/>
      <c r="CT142" s="54"/>
      <c r="CU142" s="4"/>
      <c r="CV142" s="4"/>
      <c r="CW142" s="4"/>
      <c r="CX142" s="55"/>
      <c r="CY142" s="54"/>
      <c r="CZ142" s="4"/>
      <c r="DA142" s="4"/>
      <c r="DB142" s="4"/>
      <c r="DC142" s="55"/>
      <c r="DD142" s="54"/>
      <c r="DE142" s="4"/>
      <c r="DF142" s="4"/>
      <c r="DG142" s="4"/>
      <c r="DH142" s="55"/>
      <c r="DI142" s="54"/>
      <c r="DJ142" s="4"/>
      <c r="DK142" s="4"/>
      <c r="DL142" s="4"/>
      <c r="DM142" s="55"/>
      <c r="DN142" s="54"/>
      <c r="DO142" s="4"/>
      <c r="DP142" s="4"/>
    </row>
    <row r="143">
      <c r="A143" s="56"/>
      <c r="B143" s="56"/>
      <c r="C143" s="26"/>
      <c r="D143" s="83" t="s">
        <v>218</v>
      </c>
      <c r="E143" s="79"/>
      <c r="F143" s="79"/>
      <c r="G143" s="49" t="s">
        <v>122</v>
      </c>
      <c r="H143" s="80">
        <v>45971.0</v>
      </c>
      <c r="I143" s="80">
        <v>45972.0</v>
      </c>
      <c r="J143" s="47" t="str">
        <f t="shared" ref="J143:J146" si="32">IF(C143="","",NETWORKDAYS(H143,I143,Filter!D$2:D1000))</f>
        <v/>
      </c>
      <c r="K143" s="49" t="s">
        <v>14</v>
      </c>
      <c r="L143" s="65"/>
      <c r="M143" s="73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43"/>
      <c r="BB143" s="43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3"/>
      <c r="CE143" s="54"/>
      <c r="CF143" s="4"/>
      <c r="CG143" s="4"/>
      <c r="CH143" s="4"/>
      <c r="CI143" s="55"/>
      <c r="CJ143" s="54"/>
      <c r="CK143" s="4"/>
      <c r="CL143" s="4"/>
      <c r="CM143" s="4"/>
      <c r="CN143" s="55"/>
      <c r="CO143" s="54"/>
      <c r="CP143" s="4"/>
      <c r="CQ143" s="4"/>
      <c r="CR143" s="4"/>
      <c r="CS143" s="55"/>
      <c r="CT143" s="54"/>
      <c r="CU143" s="4"/>
      <c r="CV143" s="4"/>
      <c r="CW143" s="4"/>
      <c r="CX143" s="55"/>
      <c r="CY143" s="54"/>
      <c r="CZ143" s="4"/>
      <c r="DA143" s="4"/>
      <c r="DB143" s="4"/>
      <c r="DC143" s="55"/>
      <c r="DD143" s="54"/>
      <c r="DE143" s="4"/>
      <c r="DF143" s="4"/>
      <c r="DG143" s="4"/>
      <c r="DH143" s="55"/>
      <c r="DI143" s="54"/>
      <c r="DJ143" s="4"/>
      <c r="DK143" s="4"/>
      <c r="DL143" s="4"/>
      <c r="DM143" s="55"/>
      <c r="DN143" s="54"/>
      <c r="DO143" s="4"/>
      <c r="DP143" s="4"/>
    </row>
    <row r="144">
      <c r="A144" s="56"/>
      <c r="B144" s="56"/>
      <c r="C144" s="60" t="s">
        <v>130</v>
      </c>
      <c r="D144" s="83" t="s">
        <v>219</v>
      </c>
      <c r="E144" s="79"/>
      <c r="F144" s="79"/>
      <c r="G144" s="49" t="s">
        <v>220</v>
      </c>
      <c r="H144" s="80">
        <v>45973.0</v>
      </c>
      <c r="I144" s="80">
        <v>45973.0</v>
      </c>
      <c r="J144" s="49" t="str">
        <f t="shared" si="32"/>
        <v>#REF!</v>
      </c>
      <c r="K144" s="49" t="s">
        <v>14</v>
      </c>
      <c r="L144" s="65"/>
      <c r="M144" s="73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43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3"/>
      <c r="CE144" s="54"/>
      <c r="CF144" s="4"/>
      <c r="CG144" s="4"/>
      <c r="CH144" s="4"/>
      <c r="CI144" s="55"/>
      <c r="CJ144" s="54"/>
      <c r="CK144" s="4"/>
      <c r="CL144" s="4"/>
      <c r="CM144" s="4"/>
      <c r="CN144" s="55"/>
      <c r="CO144" s="54"/>
      <c r="CP144" s="4"/>
      <c r="CQ144" s="4"/>
      <c r="CR144" s="4"/>
      <c r="CS144" s="55"/>
      <c r="CT144" s="54"/>
      <c r="CU144" s="4"/>
      <c r="CV144" s="4"/>
      <c r="CW144" s="4"/>
      <c r="CX144" s="55"/>
      <c r="CY144" s="54"/>
      <c r="CZ144" s="4"/>
      <c r="DA144" s="4"/>
      <c r="DB144" s="4"/>
      <c r="DC144" s="55"/>
      <c r="DD144" s="54"/>
      <c r="DE144" s="4"/>
      <c r="DF144" s="4"/>
      <c r="DG144" s="4"/>
      <c r="DH144" s="55"/>
      <c r="DI144" s="54"/>
      <c r="DJ144" s="4"/>
      <c r="DK144" s="4"/>
      <c r="DL144" s="4"/>
      <c r="DM144" s="55"/>
      <c r="DN144" s="54"/>
      <c r="DO144" s="4"/>
      <c r="DP144" s="4"/>
    </row>
    <row r="145">
      <c r="A145" s="56"/>
      <c r="B145" s="56"/>
      <c r="C145" s="26"/>
      <c r="D145" s="83" t="s">
        <v>221</v>
      </c>
      <c r="E145" s="79"/>
      <c r="F145" s="79"/>
      <c r="G145" s="49" t="s">
        <v>122</v>
      </c>
      <c r="H145" s="80">
        <v>45973.0</v>
      </c>
      <c r="I145" s="80">
        <v>45973.0</v>
      </c>
      <c r="J145" s="47" t="str">
        <f t="shared" si="32"/>
        <v/>
      </c>
      <c r="K145" s="49" t="s">
        <v>14</v>
      </c>
      <c r="L145" s="65"/>
      <c r="M145" s="73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43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3"/>
      <c r="CE145" s="54"/>
      <c r="CF145" s="4"/>
      <c r="CG145" s="4"/>
      <c r="CH145" s="4"/>
      <c r="CI145" s="55"/>
      <c r="CJ145" s="54"/>
      <c r="CK145" s="4"/>
      <c r="CL145" s="4"/>
      <c r="CM145" s="4"/>
      <c r="CN145" s="55"/>
      <c r="CO145" s="54"/>
      <c r="CP145" s="4"/>
      <c r="CQ145" s="4"/>
      <c r="CR145" s="4"/>
      <c r="CS145" s="55"/>
      <c r="CT145" s="54"/>
      <c r="CU145" s="4"/>
      <c r="CV145" s="4"/>
      <c r="CW145" s="4"/>
      <c r="CX145" s="55"/>
      <c r="CY145" s="54"/>
      <c r="CZ145" s="4"/>
      <c r="DA145" s="4"/>
      <c r="DB145" s="4"/>
      <c r="DC145" s="55"/>
      <c r="DD145" s="54"/>
      <c r="DE145" s="4"/>
      <c r="DF145" s="4"/>
      <c r="DG145" s="4"/>
      <c r="DH145" s="55"/>
      <c r="DI145" s="54"/>
      <c r="DJ145" s="4"/>
      <c r="DK145" s="4"/>
      <c r="DL145" s="4"/>
      <c r="DM145" s="55"/>
      <c r="DN145" s="54"/>
      <c r="DO145" s="4"/>
      <c r="DP145" s="4"/>
    </row>
    <row r="146">
      <c r="A146" s="56"/>
      <c r="B146" s="56"/>
      <c r="C146" s="60" t="s">
        <v>222</v>
      </c>
      <c r="D146" s="83" t="s">
        <v>223</v>
      </c>
      <c r="E146" s="79"/>
      <c r="F146" s="79"/>
      <c r="G146" s="49" t="s">
        <v>37</v>
      </c>
      <c r="H146" s="80">
        <v>45975.0</v>
      </c>
      <c r="I146" s="80">
        <v>45975.0</v>
      </c>
      <c r="J146" s="49" t="str">
        <f t="shared" si="32"/>
        <v>#REF!</v>
      </c>
      <c r="K146" s="49" t="s">
        <v>14</v>
      </c>
      <c r="L146" s="81"/>
      <c r="M146" s="73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43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82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</row>
    <row r="147">
      <c r="A147" s="56"/>
      <c r="B147" s="26"/>
      <c r="C147" s="26"/>
      <c r="D147" s="93" t="s">
        <v>224</v>
      </c>
      <c r="E147" s="79"/>
      <c r="F147" s="48"/>
      <c r="G147" s="49" t="s">
        <v>220</v>
      </c>
      <c r="H147" s="94">
        <v>45975.0</v>
      </c>
      <c r="I147" s="80">
        <v>45975.0</v>
      </c>
      <c r="J147" s="47"/>
      <c r="K147" s="49" t="s">
        <v>14</v>
      </c>
      <c r="L147" s="81"/>
      <c r="M147" s="73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43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82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</row>
    <row r="148">
      <c r="A148" s="56"/>
      <c r="B148" s="71" t="s">
        <v>225</v>
      </c>
      <c r="C148" s="78" t="s">
        <v>226</v>
      </c>
      <c r="D148" s="93" t="s">
        <v>227</v>
      </c>
      <c r="E148" s="79"/>
      <c r="F148" s="69" t="s">
        <v>107</v>
      </c>
      <c r="G148" s="49" t="s">
        <v>18</v>
      </c>
      <c r="H148" s="94">
        <v>45974.0</v>
      </c>
      <c r="I148" s="80">
        <v>45974.0</v>
      </c>
      <c r="J148" s="47"/>
      <c r="K148" s="49" t="s">
        <v>101</v>
      </c>
      <c r="L148" s="81"/>
      <c r="M148" s="73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43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82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</row>
    <row r="149">
      <c r="A149" s="26"/>
      <c r="B149" s="26"/>
      <c r="C149" s="78" t="s">
        <v>228</v>
      </c>
      <c r="D149" s="93" t="s">
        <v>229</v>
      </c>
      <c r="E149" s="79"/>
      <c r="F149" s="69" t="s">
        <v>107</v>
      </c>
      <c r="G149" s="49" t="s">
        <v>18</v>
      </c>
      <c r="H149" s="94">
        <v>45974.0</v>
      </c>
      <c r="I149" s="80">
        <v>45974.0</v>
      </c>
      <c r="J149" s="47"/>
      <c r="K149" s="49" t="s">
        <v>101</v>
      </c>
      <c r="L149" s="81"/>
      <c r="M149" s="73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43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82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</row>
    <row r="150">
      <c r="A150" s="95" t="s">
        <v>230</v>
      </c>
      <c r="B150" s="35"/>
      <c r="C150" s="35"/>
      <c r="D150" s="36"/>
      <c r="E150" s="36"/>
      <c r="F150" s="37"/>
      <c r="G150" s="36"/>
      <c r="H150" s="39">
        <v>45978.0</v>
      </c>
      <c r="I150" s="39">
        <v>45982.0</v>
      </c>
      <c r="J150" s="36" t="str">
        <f>IF(C150="","",NETWORKDAYS(H150,I150,Filter!D$2:D1000))</f>
        <v/>
      </c>
      <c r="K150" s="40" t="s">
        <v>14</v>
      </c>
      <c r="L150" s="41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3"/>
      <c r="BG150" s="43"/>
      <c r="BH150" s="43"/>
      <c r="BI150" s="43"/>
      <c r="BJ150" s="43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</row>
    <row r="151">
      <c r="A151" s="44" t="s">
        <v>231</v>
      </c>
      <c r="B151" s="72" t="s">
        <v>232</v>
      </c>
      <c r="C151" s="46" t="s">
        <v>233</v>
      </c>
      <c r="D151" s="83" t="s">
        <v>234</v>
      </c>
      <c r="E151" s="79"/>
      <c r="F151" s="79"/>
      <c r="G151" s="49" t="s">
        <v>18</v>
      </c>
      <c r="H151" s="80">
        <v>45978.0</v>
      </c>
      <c r="I151" s="80">
        <v>45980.0</v>
      </c>
      <c r="J151" s="49" t="str">
        <f>IF(#REF!="","",NETWORKDAYS(H151,I151,Filter!D$2:D1000))</f>
        <v>#REF!</v>
      </c>
      <c r="K151" s="49" t="s">
        <v>14</v>
      </c>
      <c r="L151" s="65"/>
      <c r="M151" s="73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43"/>
      <c r="BG151" s="43"/>
      <c r="BH151" s="43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3"/>
      <c r="CE151" s="54"/>
      <c r="CF151" s="4"/>
      <c r="CG151" s="4"/>
      <c r="CH151" s="4"/>
      <c r="CI151" s="55"/>
      <c r="CJ151" s="54"/>
      <c r="CK151" s="4"/>
      <c r="CL151" s="4"/>
      <c r="CM151" s="4"/>
      <c r="CN151" s="55"/>
      <c r="CO151" s="54"/>
      <c r="CP151" s="4"/>
      <c r="CQ151" s="4"/>
      <c r="CR151" s="4"/>
      <c r="CS151" s="55"/>
      <c r="CT151" s="54"/>
      <c r="CU151" s="4"/>
      <c r="CV151" s="4"/>
      <c r="CW151" s="4"/>
      <c r="CX151" s="55"/>
      <c r="CY151" s="54"/>
      <c r="CZ151" s="4"/>
      <c r="DA151" s="4"/>
      <c r="DB151" s="4"/>
      <c r="DC151" s="55"/>
      <c r="DD151" s="54"/>
      <c r="DE151" s="4"/>
      <c r="DF151" s="4"/>
      <c r="DG151" s="4"/>
      <c r="DH151" s="55"/>
      <c r="DI151" s="54"/>
      <c r="DJ151" s="4"/>
      <c r="DK151" s="4"/>
      <c r="DL151" s="4"/>
      <c r="DM151" s="55"/>
      <c r="DN151" s="54"/>
      <c r="DO151" s="4"/>
      <c r="DP151" s="4"/>
    </row>
    <row r="152">
      <c r="A152" s="56"/>
      <c r="B152" s="56"/>
      <c r="C152" s="96" t="s">
        <v>235</v>
      </c>
      <c r="D152" s="83" t="s">
        <v>236</v>
      </c>
      <c r="E152" s="79"/>
      <c r="F152" s="79"/>
      <c r="G152" s="49" t="s">
        <v>237</v>
      </c>
      <c r="H152" s="80">
        <v>45979.0</v>
      </c>
      <c r="I152" s="80">
        <v>45980.0</v>
      </c>
      <c r="J152" s="49" t="str">
        <f>IF(C151="","",NETWORKDAYS(H152,I152,Filter!D$2:D1000))</f>
        <v>#REF!</v>
      </c>
      <c r="K152" s="49" t="s">
        <v>14</v>
      </c>
      <c r="L152" s="65"/>
      <c r="M152" s="73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43"/>
      <c r="BH152" s="43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3"/>
      <c r="CE152" s="54"/>
      <c r="CF152" s="4"/>
      <c r="CG152" s="4"/>
      <c r="CH152" s="4"/>
      <c r="CI152" s="55"/>
      <c r="CJ152" s="54"/>
      <c r="CK152" s="4"/>
      <c r="CL152" s="4"/>
      <c r="CM152" s="4"/>
      <c r="CN152" s="55"/>
      <c r="CO152" s="54"/>
      <c r="CP152" s="4"/>
      <c r="CQ152" s="4"/>
      <c r="CR152" s="4"/>
      <c r="CS152" s="55"/>
      <c r="CT152" s="54"/>
      <c r="CU152" s="4"/>
      <c r="CV152" s="4"/>
      <c r="CW152" s="4"/>
      <c r="CX152" s="55"/>
      <c r="CY152" s="54"/>
      <c r="CZ152" s="4"/>
      <c r="DA152" s="4"/>
      <c r="DB152" s="4"/>
      <c r="DC152" s="55"/>
      <c r="DD152" s="54"/>
      <c r="DE152" s="4"/>
      <c r="DF152" s="4"/>
      <c r="DG152" s="4"/>
      <c r="DH152" s="55"/>
      <c r="DI152" s="54"/>
      <c r="DJ152" s="4"/>
      <c r="DK152" s="4"/>
      <c r="DL152" s="4"/>
      <c r="DM152" s="55"/>
      <c r="DN152" s="54"/>
      <c r="DO152" s="4"/>
      <c r="DP152" s="4"/>
    </row>
    <row r="153">
      <c r="A153" s="56"/>
      <c r="B153" s="56"/>
      <c r="C153" s="97" t="s">
        <v>238</v>
      </c>
      <c r="D153" s="98" t="s">
        <v>239</v>
      </c>
      <c r="E153" s="79"/>
      <c r="F153" s="79"/>
      <c r="G153" s="49" t="s">
        <v>18</v>
      </c>
      <c r="H153" s="80">
        <v>45979.0</v>
      </c>
      <c r="I153" s="80">
        <v>45982.0</v>
      </c>
      <c r="J153" s="47"/>
      <c r="K153" s="49" t="s">
        <v>14</v>
      </c>
      <c r="L153" s="65"/>
      <c r="M153" s="73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43"/>
      <c r="BH153" s="43"/>
      <c r="BI153" s="43"/>
      <c r="BJ153" s="43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3"/>
      <c r="CE153" s="54"/>
      <c r="CF153" s="4"/>
      <c r="CG153" s="4"/>
      <c r="CH153" s="4"/>
      <c r="CI153" s="55"/>
      <c r="CJ153" s="54"/>
      <c r="CK153" s="4"/>
      <c r="CL153" s="4"/>
      <c r="CM153" s="4"/>
      <c r="CN153" s="55"/>
      <c r="CO153" s="54"/>
      <c r="CP153" s="4"/>
      <c r="CQ153" s="4"/>
      <c r="CR153" s="4"/>
      <c r="CS153" s="55"/>
      <c r="CT153" s="54"/>
      <c r="CU153" s="4"/>
      <c r="CV153" s="4"/>
      <c r="CW153" s="4"/>
      <c r="CX153" s="55"/>
      <c r="CY153" s="54"/>
      <c r="CZ153" s="4"/>
      <c r="DA153" s="4"/>
      <c r="DB153" s="4"/>
      <c r="DC153" s="55"/>
      <c r="DD153" s="54"/>
      <c r="DE153" s="4"/>
      <c r="DF153" s="4"/>
      <c r="DG153" s="4"/>
      <c r="DH153" s="55"/>
      <c r="DI153" s="54"/>
      <c r="DJ153" s="4"/>
      <c r="DK153" s="4"/>
      <c r="DL153" s="4"/>
      <c r="DM153" s="55"/>
      <c r="DN153" s="54"/>
      <c r="DO153" s="4"/>
      <c r="DP153" s="4"/>
    </row>
    <row r="154">
      <c r="A154" s="56"/>
      <c r="B154" s="26"/>
      <c r="C154" s="99" t="s">
        <v>240</v>
      </c>
      <c r="D154" s="83" t="s">
        <v>241</v>
      </c>
      <c r="E154" s="79"/>
      <c r="F154" s="79"/>
      <c r="G154" s="49" t="s">
        <v>18</v>
      </c>
      <c r="H154" s="80">
        <v>45979.0</v>
      </c>
      <c r="I154" s="80">
        <v>45979.0</v>
      </c>
      <c r="J154" s="49" t="str">
        <f>IF(C154="","",NETWORKDAYS(H154,I154,Filter!D$2:D1000))</f>
        <v>#REF!</v>
      </c>
      <c r="K154" s="49" t="s">
        <v>14</v>
      </c>
      <c r="L154" s="65"/>
      <c r="M154" s="73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43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3"/>
      <c r="CE154" s="54"/>
      <c r="CF154" s="4"/>
      <c r="CG154" s="4"/>
      <c r="CH154" s="4"/>
      <c r="CI154" s="55"/>
      <c r="CJ154" s="54"/>
      <c r="CK154" s="4"/>
      <c r="CL154" s="4"/>
      <c r="CM154" s="4"/>
      <c r="CN154" s="55"/>
      <c r="CO154" s="54"/>
      <c r="CP154" s="4"/>
      <c r="CQ154" s="4"/>
      <c r="CR154" s="4"/>
      <c r="CS154" s="55"/>
      <c r="CT154" s="54"/>
      <c r="CU154" s="4"/>
      <c r="CV154" s="4"/>
      <c r="CW154" s="4"/>
      <c r="CX154" s="55"/>
      <c r="CY154" s="54"/>
      <c r="CZ154" s="4"/>
      <c r="DA154" s="4"/>
      <c r="DB154" s="4"/>
      <c r="DC154" s="55"/>
      <c r="DD154" s="54"/>
      <c r="DE154" s="4"/>
      <c r="DF154" s="4"/>
      <c r="DG154" s="4"/>
      <c r="DH154" s="55"/>
      <c r="DI154" s="54"/>
      <c r="DJ154" s="4"/>
      <c r="DK154" s="4"/>
      <c r="DL154" s="4"/>
      <c r="DM154" s="55"/>
      <c r="DN154" s="54"/>
      <c r="DO154" s="4"/>
      <c r="DP154" s="4"/>
    </row>
    <row r="155">
      <c r="A155" s="56"/>
      <c r="B155" s="71" t="s">
        <v>225</v>
      </c>
      <c r="C155" s="78" t="s">
        <v>226</v>
      </c>
      <c r="D155" s="93" t="s">
        <v>227</v>
      </c>
      <c r="E155" s="100" t="s">
        <v>5</v>
      </c>
      <c r="F155" s="79"/>
      <c r="G155" s="49" t="s">
        <v>112</v>
      </c>
      <c r="H155" s="80">
        <v>45978.0</v>
      </c>
      <c r="I155" s="80">
        <v>45979.0</v>
      </c>
      <c r="J155" s="47"/>
      <c r="K155" s="49" t="s">
        <v>14</v>
      </c>
      <c r="L155" s="65"/>
      <c r="M155" s="73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43"/>
      <c r="BG155" s="43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3"/>
      <c r="CE155" s="54"/>
      <c r="CF155" s="4"/>
      <c r="CG155" s="4"/>
      <c r="CH155" s="4"/>
      <c r="CI155" s="55"/>
      <c r="CJ155" s="54"/>
      <c r="CK155" s="4"/>
      <c r="CL155" s="4"/>
      <c r="CM155" s="4"/>
      <c r="CN155" s="55"/>
      <c r="CO155" s="54"/>
      <c r="CP155" s="4"/>
      <c r="CQ155" s="4"/>
      <c r="CR155" s="4"/>
      <c r="CS155" s="55"/>
      <c r="CT155" s="54"/>
      <c r="CU155" s="4"/>
      <c r="CV155" s="4"/>
      <c r="CW155" s="4"/>
      <c r="CX155" s="55"/>
      <c r="CY155" s="54"/>
      <c r="CZ155" s="4"/>
      <c r="DA155" s="4"/>
      <c r="DB155" s="4"/>
      <c r="DC155" s="55"/>
      <c r="DD155" s="54"/>
      <c r="DE155" s="4"/>
      <c r="DF155" s="4"/>
      <c r="DG155" s="4"/>
      <c r="DH155" s="55"/>
      <c r="DI155" s="54"/>
      <c r="DJ155" s="4"/>
      <c r="DK155" s="4"/>
      <c r="DL155" s="4"/>
      <c r="DM155" s="55"/>
      <c r="DN155" s="54"/>
      <c r="DO155" s="4"/>
      <c r="DP155" s="4"/>
    </row>
    <row r="156">
      <c r="A156" s="56"/>
      <c r="B156" s="26"/>
      <c r="C156" s="78" t="s">
        <v>228</v>
      </c>
      <c r="D156" s="93" t="s">
        <v>229</v>
      </c>
      <c r="E156" s="100" t="s">
        <v>5</v>
      </c>
      <c r="F156" s="79"/>
      <c r="G156" s="49" t="s">
        <v>242</v>
      </c>
      <c r="H156" s="80">
        <v>45978.0</v>
      </c>
      <c r="I156" s="80">
        <v>45979.0</v>
      </c>
      <c r="J156" s="47"/>
      <c r="K156" s="49" t="s">
        <v>14</v>
      </c>
      <c r="L156" s="65"/>
      <c r="M156" s="73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43"/>
      <c r="BG156" s="43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3"/>
      <c r="CE156" s="54"/>
      <c r="CF156" s="4"/>
      <c r="CG156" s="4"/>
      <c r="CH156" s="4"/>
      <c r="CI156" s="55"/>
      <c r="CJ156" s="54"/>
      <c r="CK156" s="4"/>
      <c r="CL156" s="4"/>
      <c r="CM156" s="4"/>
      <c r="CN156" s="55"/>
      <c r="CO156" s="54"/>
      <c r="CP156" s="4"/>
      <c r="CQ156" s="4"/>
      <c r="CR156" s="4"/>
      <c r="CS156" s="55"/>
      <c r="CT156" s="54"/>
      <c r="CU156" s="4"/>
      <c r="CV156" s="4"/>
      <c r="CW156" s="4"/>
      <c r="CX156" s="55"/>
      <c r="CY156" s="54"/>
      <c r="CZ156" s="4"/>
      <c r="DA156" s="4"/>
      <c r="DB156" s="4"/>
      <c r="DC156" s="55"/>
      <c r="DD156" s="54"/>
      <c r="DE156" s="4"/>
      <c r="DF156" s="4"/>
      <c r="DG156" s="4"/>
      <c r="DH156" s="55"/>
      <c r="DI156" s="54"/>
      <c r="DJ156" s="4"/>
      <c r="DK156" s="4"/>
      <c r="DL156" s="4"/>
      <c r="DM156" s="55"/>
      <c r="DN156" s="54"/>
      <c r="DO156" s="4"/>
      <c r="DP156" s="4"/>
    </row>
    <row r="157">
      <c r="A157" s="56"/>
      <c r="B157" s="75" t="s">
        <v>243</v>
      </c>
      <c r="C157" s="78" t="s">
        <v>244</v>
      </c>
      <c r="D157" s="83" t="s">
        <v>245</v>
      </c>
      <c r="E157" s="79"/>
      <c r="F157" s="79"/>
      <c r="G157" s="49" t="s">
        <v>18</v>
      </c>
      <c r="H157" s="80">
        <v>45980.0</v>
      </c>
      <c r="I157" s="80">
        <v>45980.0</v>
      </c>
      <c r="J157" s="49" t="str">
        <f t="shared" ref="J157:J159" si="33">IF(C157="","",NETWORKDAYS(H157,I157,Filter!D$2:D1000))</f>
        <v>#REF!</v>
      </c>
      <c r="K157" s="49" t="s">
        <v>14</v>
      </c>
      <c r="L157" s="65"/>
      <c r="M157" s="73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43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3"/>
      <c r="CE157" s="54"/>
      <c r="CF157" s="4"/>
      <c r="CG157" s="4"/>
      <c r="CH157" s="4"/>
      <c r="CI157" s="55"/>
      <c r="CJ157" s="54"/>
      <c r="CK157" s="4"/>
      <c r="CL157" s="4"/>
      <c r="CM157" s="4"/>
      <c r="CN157" s="55"/>
      <c r="CO157" s="54"/>
      <c r="CP157" s="4"/>
      <c r="CQ157" s="4"/>
      <c r="CR157" s="4"/>
      <c r="CS157" s="55"/>
      <c r="CT157" s="54"/>
      <c r="CU157" s="4"/>
      <c r="CV157" s="4"/>
      <c r="CW157" s="4"/>
      <c r="CX157" s="55"/>
      <c r="CY157" s="54"/>
      <c r="CZ157" s="4"/>
      <c r="DA157" s="4"/>
      <c r="DB157" s="4"/>
      <c r="DC157" s="55"/>
      <c r="DD157" s="54"/>
      <c r="DE157" s="4"/>
      <c r="DF157" s="4"/>
      <c r="DG157" s="4"/>
      <c r="DH157" s="55"/>
      <c r="DI157" s="54"/>
      <c r="DJ157" s="4"/>
      <c r="DK157" s="4"/>
      <c r="DL157" s="4"/>
      <c r="DM157" s="55"/>
      <c r="DN157" s="54"/>
      <c r="DO157" s="4"/>
      <c r="DP157" s="4"/>
    </row>
    <row r="158">
      <c r="A158" s="56"/>
      <c r="B158" s="72" t="s">
        <v>246</v>
      </c>
      <c r="C158" s="78" t="s">
        <v>240</v>
      </c>
      <c r="D158" s="83" t="s">
        <v>247</v>
      </c>
      <c r="E158" s="79"/>
      <c r="F158" s="79"/>
      <c r="G158" s="49" t="s">
        <v>18</v>
      </c>
      <c r="H158" s="80">
        <v>45979.0</v>
      </c>
      <c r="I158" s="80">
        <v>45982.0</v>
      </c>
      <c r="J158" s="49" t="str">
        <f t="shared" si="33"/>
        <v>#REF!</v>
      </c>
      <c r="K158" s="49" t="s">
        <v>14</v>
      </c>
      <c r="L158" s="65"/>
      <c r="M158" s="73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43"/>
      <c r="BH158" s="43"/>
      <c r="BI158" s="43"/>
      <c r="BJ158" s="43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3"/>
      <c r="CE158" s="54"/>
      <c r="CF158" s="4"/>
      <c r="CG158" s="4"/>
      <c r="CH158" s="4"/>
      <c r="CI158" s="55"/>
      <c r="CJ158" s="54"/>
      <c r="CK158" s="4"/>
      <c r="CL158" s="4"/>
      <c r="CM158" s="4"/>
      <c r="CN158" s="55"/>
      <c r="CO158" s="54"/>
      <c r="CP158" s="4"/>
      <c r="CQ158" s="4"/>
      <c r="CR158" s="4"/>
      <c r="CS158" s="55"/>
      <c r="CT158" s="54"/>
      <c r="CU158" s="4"/>
      <c r="CV158" s="4"/>
      <c r="CW158" s="4"/>
      <c r="CX158" s="55"/>
      <c r="CY158" s="54"/>
      <c r="CZ158" s="4"/>
      <c r="DA158" s="4"/>
      <c r="DB158" s="4"/>
      <c r="DC158" s="55"/>
      <c r="DD158" s="54"/>
      <c r="DE158" s="4"/>
      <c r="DF158" s="4"/>
      <c r="DG158" s="4"/>
      <c r="DH158" s="55"/>
      <c r="DI158" s="54"/>
      <c r="DJ158" s="4"/>
      <c r="DK158" s="4"/>
      <c r="DL158" s="4"/>
      <c r="DM158" s="55"/>
      <c r="DN158" s="54"/>
      <c r="DO158" s="4"/>
      <c r="DP158" s="4"/>
    </row>
    <row r="159">
      <c r="A159" s="26"/>
      <c r="B159" s="26"/>
      <c r="C159" s="78" t="s">
        <v>248</v>
      </c>
      <c r="D159" s="83" t="s">
        <v>249</v>
      </c>
      <c r="E159" s="79"/>
      <c r="F159" s="79"/>
      <c r="G159" s="49" t="s">
        <v>107</v>
      </c>
      <c r="H159" s="80">
        <v>45980.0</v>
      </c>
      <c r="I159" s="80">
        <v>45980.0</v>
      </c>
      <c r="J159" s="49" t="str">
        <f t="shared" si="33"/>
        <v>#REF!</v>
      </c>
      <c r="K159" s="49" t="s">
        <v>14</v>
      </c>
      <c r="L159" s="65"/>
      <c r="M159" s="73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43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3"/>
      <c r="CE159" s="54"/>
      <c r="CF159" s="4"/>
      <c r="CG159" s="4"/>
      <c r="CH159" s="4"/>
      <c r="CI159" s="55"/>
      <c r="CJ159" s="54"/>
      <c r="CK159" s="4"/>
      <c r="CL159" s="4"/>
      <c r="CM159" s="4"/>
      <c r="CN159" s="55"/>
      <c r="CO159" s="54"/>
      <c r="CP159" s="4"/>
      <c r="CQ159" s="4"/>
      <c r="CR159" s="4"/>
      <c r="CS159" s="55"/>
      <c r="CT159" s="54"/>
      <c r="CU159" s="4"/>
      <c r="CV159" s="4"/>
      <c r="CW159" s="4"/>
      <c r="CX159" s="55"/>
      <c r="CY159" s="54"/>
      <c r="CZ159" s="4"/>
      <c r="DA159" s="4"/>
      <c r="DB159" s="4"/>
      <c r="DC159" s="55"/>
      <c r="DD159" s="54"/>
      <c r="DE159" s="4"/>
      <c r="DF159" s="4"/>
      <c r="DG159" s="4"/>
      <c r="DH159" s="55"/>
      <c r="DI159" s="54"/>
      <c r="DJ159" s="4"/>
      <c r="DK159" s="4"/>
      <c r="DL159" s="4"/>
      <c r="DM159" s="55"/>
      <c r="DN159" s="54"/>
      <c r="DO159" s="4"/>
      <c r="DP159" s="4"/>
    </row>
  </sheetData>
  <mergeCells count="80"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  <mergeCell ref="G3:G4"/>
    <mergeCell ref="E13:E18"/>
    <mergeCell ref="E19:E23"/>
    <mergeCell ref="C19:C23"/>
    <mergeCell ref="C24:C26"/>
    <mergeCell ref="E24:E26"/>
    <mergeCell ref="G24:G26"/>
    <mergeCell ref="B24:B32"/>
    <mergeCell ref="B33:B34"/>
    <mergeCell ref="C35:C36"/>
    <mergeCell ref="B38:B40"/>
    <mergeCell ref="B64:B77"/>
    <mergeCell ref="B80:B81"/>
    <mergeCell ref="B13:B23"/>
    <mergeCell ref="B35:B37"/>
    <mergeCell ref="A43:A78"/>
    <mergeCell ref="B44:B54"/>
    <mergeCell ref="B56:B59"/>
    <mergeCell ref="B60:B63"/>
    <mergeCell ref="A80:A114"/>
    <mergeCell ref="B136:B147"/>
    <mergeCell ref="B148:B149"/>
    <mergeCell ref="A151:A159"/>
    <mergeCell ref="B151:B154"/>
    <mergeCell ref="B155:B156"/>
    <mergeCell ref="B158:B159"/>
    <mergeCell ref="A116:A129"/>
    <mergeCell ref="B117:B118"/>
    <mergeCell ref="B119:B120"/>
    <mergeCell ref="B121:B129"/>
    <mergeCell ref="A131:A149"/>
    <mergeCell ref="B132:B133"/>
    <mergeCell ref="B134:B135"/>
    <mergeCell ref="A6:A11"/>
    <mergeCell ref="B6:B11"/>
    <mergeCell ref="A13:A41"/>
    <mergeCell ref="C13:C18"/>
    <mergeCell ref="G13:G18"/>
    <mergeCell ref="E29:E30"/>
    <mergeCell ref="E33:E34"/>
    <mergeCell ref="C44:C48"/>
    <mergeCell ref="C49:C52"/>
    <mergeCell ref="C53:C54"/>
    <mergeCell ref="C60:C62"/>
    <mergeCell ref="C64:C66"/>
    <mergeCell ref="C67:C69"/>
    <mergeCell ref="C70:C71"/>
    <mergeCell ref="B83:B91"/>
    <mergeCell ref="B92:B93"/>
    <mergeCell ref="B95:B107"/>
    <mergeCell ref="B108:B110"/>
    <mergeCell ref="C72:C74"/>
    <mergeCell ref="C75:C77"/>
    <mergeCell ref="C84:C85"/>
    <mergeCell ref="C86:C90"/>
    <mergeCell ref="C92:C93"/>
    <mergeCell ref="C97:C98"/>
    <mergeCell ref="C100:C107"/>
    <mergeCell ref="B111:B112"/>
    <mergeCell ref="B113:B114"/>
    <mergeCell ref="C144:C145"/>
    <mergeCell ref="C146:C147"/>
    <mergeCell ref="C109:C110"/>
    <mergeCell ref="C111:C112"/>
    <mergeCell ref="C119:C120"/>
    <mergeCell ref="C125:C127"/>
    <mergeCell ref="C128:C129"/>
    <mergeCell ref="C134:C135"/>
    <mergeCell ref="C141:C143"/>
  </mergeCells>
  <dataValidations>
    <dataValidation type="list" allowBlank="1" sqref="K5:K159">
      <formula1>"할 일,진행 중,완료,보류"</formula1>
    </dataValidation>
    <dataValidation type="custom" allowBlank="1" showDropDown="1" sqref="H5:I159">
      <formula1>OR(NOT(ISERROR(DATEVALUE(H5))), AND(ISNUMBER(H5), LEFT(CELL("format", H5))="D"))</formula1>
    </dataValidation>
    <dataValidation type="list" allowBlank="1" sqref="G6:G11 G13 G19:G24 G27:G41 G43:G78 G80:G114 G116:G129 G131:G146 F147:G149 G151:G159">
      <formula1>"전원,장승원,사석훈,조설훈,홍수현"</formula1>
    </dataValidation>
  </dataValidations>
  <hyperlinks>
    <hyperlink r:id="rId1" ref="E7"/>
    <hyperlink r:id="rId2" ref="E8"/>
    <hyperlink r:id="rId3" ref="E10"/>
    <hyperlink r:id="rId4" ref="E11"/>
    <hyperlink r:id="rId5" location="heading=h.t36hrjxcqj8i" ref="E13"/>
    <hyperlink r:id="rId6" location="heading=h.5y8j154zh333" ref="E19"/>
    <hyperlink r:id="rId7" location="heading=h.3fgf20dtd8ed" ref="E24"/>
    <hyperlink r:id="rId8" ref="E27"/>
    <hyperlink r:id="rId9" ref="E28"/>
    <hyperlink r:id="rId10" ref="E29"/>
    <hyperlink r:id="rId11" ref="E31"/>
    <hyperlink r:id="rId12" ref="E33"/>
    <hyperlink r:id="rId13" ref="E37"/>
    <hyperlink r:id="rId14" location="gid=0" ref="E155"/>
    <hyperlink r:id="rId15" location="gid=137485315" ref="E156"/>
  </hyperlinks>
  <drawing r:id="rId16"/>
</worksheet>
</file>